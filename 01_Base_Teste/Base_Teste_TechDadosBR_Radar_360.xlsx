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23a9e4087a41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IA-ME" sheetId="1" r:id="R4a5c7e5ed5c84a91"/>
    <x:sheet xmlns:r="http://schemas.openxmlformats.org/officeDocument/2006/relationships" name="Imoveis_Contratos" sheetId="2" r:id="R0502325f79a34b6f"/>
    <x:sheet xmlns:r="http://schemas.openxmlformats.org/officeDocument/2006/relationships" name="Pagamentos" sheetId="3" r:id="R2c72363c04ea436b"/>
    <x:sheet xmlns:r="http://schemas.openxmlformats.org/officeDocument/2006/relationships" name="Leads_Visitas" sheetId="4" r:id="R8054a43b6590470f"/>
    <x:sheet xmlns:r="http://schemas.openxmlformats.org/officeDocument/2006/relationships" name="Manutencoes" sheetId="5" r:id="Rf6285538c6954b9a"/>
    <x:sheet xmlns:r="http://schemas.openxmlformats.org/officeDocument/2006/relationships" name="Proprietarios" sheetId="6" r:id="R0558e4401bf64ed9"/>
    <x:sheet xmlns:r="http://schemas.openxmlformats.org/officeDocument/2006/relationships" name="Dicionario" sheetId="7" r:id="R18b4d0f60f3144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R$ #,##0.00"/>
    <x:numFmt numFmtId="201" formatCode="0.0%"/>
    <x:numFmt numFmtId="202" formatCode="dd/mm/yyyy"/>
    <x:numFmt numFmtId="203" formatCode="mm/yyyy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B5E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E2A47"/>
      </x:patternFill>
    </x:fill>
    <x:fill>
      <x:patternFill patternType="solid">
        <x:fgColor rgb="FFDDEAF4"/>
      </x:patternFill>
    </x:fill>
    <x:fill>
      <x:patternFill patternType="solid">
        <x:fgColor rgb="FF173B5E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e9f100c01d4082" /><Relationship Type="http://schemas.openxmlformats.org/officeDocument/2006/relationships/theme" Target="/xl/theme/theme1.xml" Id="Rabd0990208ee4600" /><Relationship Type="http://schemas.openxmlformats.org/officeDocument/2006/relationships/sharedStrings" Target="/xl/sharedStrings.xml" Id="Rf66bb7da33bb453c" /><Relationship Type="http://schemas.openxmlformats.org/officeDocument/2006/relationships/worksheet" Target="/xl/worksheets/sheet1.xml" Id="R4a5c7e5ed5c84a91" /><Relationship Type="http://schemas.openxmlformats.org/officeDocument/2006/relationships/worksheet" Target="/xl/worksheets/sheet2.xml" Id="R0502325f79a34b6f" /><Relationship Type="http://schemas.openxmlformats.org/officeDocument/2006/relationships/worksheet" Target="/xl/worksheets/sheet3.xml" Id="R2c72363c04ea436b" /><Relationship Type="http://schemas.openxmlformats.org/officeDocument/2006/relationships/worksheet" Target="/xl/worksheets/sheet4.xml" Id="R8054a43b6590470f" /><Relationship Type="http://schemas.openxmlformats.org/officeDocument/2006/relationships/worksheet" Target="/xl/worksheets/sheet5.xml" Id="Rf6285538c6954b9a" /><Relationship Type="http://schemas.openxmlformats.org/officeDocument/2006/relationships/worksheet" Target="/xl/worksheets/sheet6.xml" Id="R0558e4401bf64ed9" /><Relationship Type="http://schemas.openxmlformats.org/officeDocument/2006/relationships/worksheet" Target="/xl/worksheets/sheet7.xml" Id="R18b4d0f60f314444" /></Relationships>
</file>

<file path=xl/tables/table1.xml><?xml version="1.0" encoding="utf-8"?>
<x:table xmlns:x="http://schemas.openxmlformats.org/spreadsheetml/2006/main" id="1" name="TblImoveisContratos" displayName="TblImoveisContratos" ref="A1:X81" headerRowCount="1">
  <x:tableColumns count="24">
    <x:tableColumn id="1" name="ID_Imovel"/>
    <x:tableColumn id="2" name="ID_Proprietario"/>
    <x:tableColumn id="3" name="Cidade"/>
    <x:tableColumn id="4" name="Bairro"/>
    <x:tableColumn id="5" name="Tipo_Imovel"/>
    <x:tableColumn id="6" name="Status_Imovel"/>
    <x:tableColumn id="7" name="Aluguel_Mensal"/>
    <x:tableColumn id="8" name="Taxa_Administracao"/>
    <x:tableColumn id="9" name="Receita_Mensal_Imobiliaria"/>
    <x:tableColumn id="10" name="Inicio_Contrato"/>
    <x:tableColumn id="11" name="Fim_Contrato"/>
    <x:tableColumn id="12" name="Ultimo_Reajuste"/>
    <x:tableColumn id="13" name="Inicio_Vacancia"/>
    <x:tableColumn id="14" name="Dias_Vago"/>
    <x:tableColumn id="15" name="Perfil_Pagamento"/>
    <x:tableColumn id="16" name="Chamados_12m"/>
    <x:tableColumn id="17" name="Dias_Sem_Contato_Proprietario"/>
    <x:tableColumn id="18" name="Reclamacoes_Proprietario"/>
    <x:tableColumn id="19" name="Valor_Mercado_Estimado"/>
    <x:tableColumn id="20" name="Diferenca_Preco_Mercado"/>
    <x:tableColumn id="21" name="Visitas_60d"/>
    <x:tableColumn id="22" name="Propostas_60d"/>
    <x:tableColumn id="23" name="Perda_Mensal_Vacancia"/>
    <x:tableColumn id="24" name="Receita_Anual_Imobiliaria"/>
  </x:tableColumns>
  <x:tableStyleInfo name="TableStyleMedium2" showRowStripes="1"/>
</x:table>
</file>

<file path=xl/tables/table2.xml><?xml version="1.0" encoding="utf-8"?>
<x:table xmlns:x="http://schemas.openxmlformats.org/spreadsheetml/2006/main" id="2" name="TblPagamentos" displayName="TblPagamentos" ref="A1:I793" headerRowCount="1">
  <x:tableColumns count="9">
    <x:tableColumn id="1" name="ID_Pagamento"/>
    <x:tableColumn id="2" name="ID_Imovel"/>
    <x:tableColumn id="3" name="Competencia"/>
    <x:tableColumn id="4" name="Valor_Cobrado"/>
    <x:tableColumn id="5" name="Valor_Pago"/>
    <x:tableColumn id="6" name="Data_Vencimento"/>
    <x:tableColumn id="7" name="Data_Pagamento"/>
    <x:tableColumn id="8" name="Dias_Atraso"/>
    <x:tableColumn id="9" name="Status_Pagamento"/>
  </x:tableColumns>
  <x:tableStyleInfo name="TableStyleMedium2" showRowStripes="1"/>
</x:table>
</file>

<file path=xl/tables/table3.xml><?xml version="1.0" encoding="utf-8"?>
<x:table xmlns:x="http://schemas.openxmlformats.org/spreadsheetml/2006/main" id="3" name="TblLeadsVisitas" displayName="TblLeadsVisitas" ref="A1:J275" headerRowCount="1">
  <x:tableColumns count="10">
    <x:tableColumn id="1" name="ID_Lead"/>
    <x:tableColumn id="2" name="ID_Imovel"/>
    <x:tableColumn id="3" name="Data_Lead"/>
    <x:tableColumn id="4" name="Canal_Origem"/>
    <x:tableColumn id="5" name="Corretor"/>
    <x:tableColumn id="6" name="Houve_Contato"/>
    <x:tableColumn id="7" name="Houve_Visita"/>
    <x:tableColumn id="8" name="Houve_Proposta"/>
    <x:tableColumn id="9" name="Fechou_Contrato"/>
    <x:tableColumn id="10" name="Dias_Ate_Primeiro_Contato"/>
  </x:tableColumns>
  <x:tableStyleInfo name="TableStyleMedium2" showRowStripes="1"/>
</x:table>
</file>

<file path=xl/tables/table4.xml><?xml version="1.0" encoding="utf-8"?>
<x:table xmlns:x="http://schemas.openxmlformats.org/spreadsheetml/2006/main" id="4" name="TblManutencoes" displayName="TblManutencoes" ref="A1:J309" headerRowCount="1">
  <x:tableColumns count="10">
    <x:tableColumn id="1" name="ID_Chamado"/>
    <x:tableColumn id="2" name="ID_Imovel"/>
    <x:tableColumn id="3" name="Data_Abertura"/>
    <x:tableColumn id="4" name="Categoria"/>
    <x:tableColumn id="5" name="Prioridade"/>
    <x:tableColumn id="6" name="Status"/>
    <x:tableColumn id="7" name="Dias_Em_Aberto"/>
    <x:tableColumn id="8" name="Custo_Estimado"/>
    <x:tableColumn id="9" name="Responsavel_Pagamento"/>
    <x:tableColumn id="10" name="Satisfacao_Proprietario"/>
  </x:tableColumns>
  <x:tableStyleInfo name="TableStyleMedium2" showRowStripes="1"/>
</x:table>
</file>

<file path=xl/tables/table5.xml><?xml version="1.0" encoding="utf-8"?>
<x:table xmlns:x="http://schemas.openxmlformats.org/spreadsheetml/2006/main" id="5" name="TblProprietarios" displayName="TblProprietarios" ref="A1:I16" headerRowCount="1">
  <x:tableColumns count="9">
    <x:tableColumn id="1" name="ID_Proprietario"/>
    <x:tableColumn id="2" name="Nome_Proprietario"/>
    <x:tableColumn id="3" name="Cliente_Desde"/>
    <x:tableColumn id="4" name="Dias_Sem_Contato"/>
    <x:tableColumn id="5" name="Reclamacoes_12m"/>
    <x:tableColumn id="6" name="Qtd_Imoveis"/>
    <x:tableColumn id="7" name="Receita_Mensal_Gerada"/>
    <x:tableColumn id="8" name="Imoveis_Vagos"/>
    <x:tableColumn id="9" name="Risco_Relacionamento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705fec69352412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c67f37e77fa428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61a7b5998ec4a6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c7780e274a7466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0dcbc782e124122" /></Relationships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85" hidden="0" customWidth="1"/>
  </x:cols>
  <x:sheetData>
    <x:row r="1" ht="24" customHeight="1">
      <x:c r="A1" s="5" t="str">
        <x:v>TechDadosBR Radar 360 — Base Fictícia para Testes</x:v>
      </x:c>
      <x:c r="B1" s="5"/>
      <x:c r="C1" s="5"/>
      <x:c r="D1" s="5"/>
      <x:c r="E1" s="5"/>
      <x:c r="F1" s="5"/>
      <x:c r="G1" s="5"/>
      <x:c r="H1" s="5"/>
    </x:row>
    <x:row r="2" ht="24" customHeight="1">
      <x:c r="A2" s="5"/>
      <x:c r="B2" s="5"/>
      <x:c r="C2" s="5"/>
      <x:c r="D2" s="5"/>
      <x:c r="E2" s="5"/>
      <x:c r="F2" s="5"/>
      <x:c r="G2" s="5"/>
      <x:c r="H2" s="5"/>
    </x:row>
    <x:row r="3" ht="24" customHeight="1"/>
    <x:row r="4" ht="24" customHeight="1">
      <x:c r="A4" s="14" t="str">
        <x:v>Objetivo</x:v>
      </x:c>
      <x:c r="B4" s="20" t="str">
        <x:v>Simular dados de uma imobiliária para desenvolvimento e validação do Radar 360.</x:v>
      </x:c>
    </x:row>
    <x:row r="5" ht="24" customHeight="1">
      <x:c r="A5" s="14" t="str">
        <x:v>Importante</x:v>
      </x:c>
      <x:c r="B5" s="20" t="str">
        <x:v>Todos os nomes, imóveis, valores e ocorrências são fictícios.</x:v>
      </x:c>
    </x:row>
    <x:row r="6" ht="24" customHeight="1">
      <x:c r="A6" s="14" t="str">
        <x:v>Período-base</x:v>
      </x:c>
      <x:c r="B6" s="20" t="str">
        <x:v>Agosto de 2026</x:v>
      </x:c>
    </x:row>
    <x:row r="7" ht="24" customHeight="1">
      <x:c r="A7" s="14" t="str">
        <x:v>Aba Imoveis_Contratos</x:v>
      </x:c>
      <x:c r="B7" s="20" t="str">
        <x:v>Cadastro principal, locação, vacância, reajustes e receita em risco.</x:v>
      </x:c>
    </x:row>
    <x:row r="8" ht="24" customHeight="1">
      <x:c r="A8" s="14" t="str">
        <x:v>Aba Pagamentos</x:v>
      </x:c>
      <x:c r="B8" s="20" t="str">
        <x:v>Histórico mensal de cobrança e atrasos dos últimos 12 meses.</x:v>
      </x:c>
    </x:row>
    <x:row r="9" ht="24" customHeight="1">
      <x:c r="A9" s="14" t="str">
        <x:v>Aba Leads_Visitas</x:v>
      </x:c>
      <x:c r="B9" s="20" t="str">
        <x:v>Origem dos leads, visitas, propostas e conversões.</x:v>
      </x:c>
    </x:row>
    <x:row r="10" ht="24" customHeight="1">
      <x:c r="A10" s="14" t="str">
        <x:v>Aba Manutencoes</x:v>
      </x:c>
      <x:c r="B10" s="20" t="str">
        <x:v>Chamados, prazos, custos e situação das manutenções.</x:v>
      </x:c>
    </x:row>
    <x:row r="11" ht="24" customHeight="1">
      <x:c r="A11" s="14" t="str">
        <x:v>Aba Proprietarios</x:v>
      </x:c>
      <x:c r="B11" s="20" t="str">
        <x:v>Relacionamento, quantidade de imóveis e risco de saída.</x:v>
      </x:c>
    </x:row>
    <x:row r="12" ht="24" customHeight="1">
      <x:c r="A12" s="14" t="str">
        <x:v>Aba Dicionario</x:v>
      </x:c>
      <x:c r="B12" s="20" t="str">
        <x:v>Definição dos campos usados nas bases.</x:v>
      </x:c>
    </x:row>
    <x:row r="13" ht="24" customHeight="1">
      <x:c r="A13" s="14" t="str">
        <x:v>Próximo uso</x:v>
      </x:c>
      <x:c r="B13" s="20" t="str">
        <x:v>Importar essas abas no aplicativo para testar cruzamentos, indicadores e ranking de prioridades.</x:v>
      </x:c>
    </x:row>
  </x:sheetData>
  <x:mergeCells>
    <x:mergeCell ref="A1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20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</x:cols>
  <x:sheetData>
    <x:row r="1" ht="34" customHeight="1">
      <x:c r="A1" s="26" t="str">
        <x:v>ID_Imovel</x:v>
      </x:c>
      <x:c r="B1" s="26" t="str">
        <x:v>ID_Proprietario</x:v>
      </x:c>
      <x:c r="C1" s="26" t="str">
        <x:v>Cidade</x:v>
      </x:c>
      <x:c r="D1" s="26" t="str">
        <x:v>Bairro</x:v>
      </x:c>
      <x:c r="E1" s="26" t="str">
        <x:v>Tipo_Imovel</x:v>
      </x:c>
      <x:c r="F1" s="26" t="str">
        <x:v>Status_Imovel</x:v>
      </x:c>
      <x:c r="G1" s="26" t="str">
        <x:v>Aluguel_Mensal</x:v>
      </x:c>
      <x:c r="H1" s="26" t="str">
        <x:v>Taxa_Administracao</x:v>
      </x:c>
      <x:c r="I1" s="26" t="str">
        <x:v>Receita_Mensal_Imobiliaria</x:v>
      </x:c>
      <x:c r="J1" s="26" t="str">
        <x:v>Inicio_Contrato</x:v>
      </x:c>
      <x:c r="K1" s="26" t="str">
        <x:v>Fim_Contrato</x:v>
      </x:c>
      <x:c r="L1" s="26" t="str">
        <x:v>Ultimo_Reajuste</x:v>
      </x:c>
      <x:c r="M1" s="26" t="str">
        <x:v>Inicio_Vacancia</x:v>
      </x:c>
      <x:c r="N1" s="26" t="str">
        <x:v>Dias_Vago</x:v>
      </x:c>
      <x:c r="O1" s="26" t="str">
        <x:v>Perfil_Pagamento</x:v>
      </x:c>
      <x:c r="P1" s="26" t="str">
        <x:v>Chamados_12m</x:v>
      </x:c>
      <x:c r="Q1" s="26" t="str">
        <x:v>Dias_Sem_Contato_Proprietario</x:v>
      </x:c>
      <x:c r="R1" s="26" t="str">
        <x:v>Reclamacoes_Proprietario</x:v>
      </x:c>
      <x:c r="S1" s="26" t="str">
        <x:v>Valor_Mercado_Estimado</x:v>
      </x:c>
      <x:c r="T1" s="26" t="str">
        <x:v>Diferenca_Preco_Mercado</x:v>
      </x:c>
      <x:c r="U1" s="26" t="str">
        <x:v>Visitas_60d</x:v>
      </x:c>
      <x:c r="V1" s="26" t="str">
        <x:v>Propostas_60d</x:v>
      </x:c>
      <x:c r="W1" s="26" t="str">
        <x:v>Perda_Mensal_Vacancia</x:v>
      </x:c>
      <x:c r="X1" s="26" t="str">
        <x:v>Receita_Anual_Imobiliaria</x:v>
      </x:c>
    </x:row>
    <x:row r="2">
      <x:c r="A2" t="str">
        <x:v>IMV-0001</x:v>
      </x:c>
      <x:c r="B2" t="str">
        <x:v>PROP-015</x:v>
      </x:c>
      <x:c r="C2" t="str">
        <x:v>Valinhos</x:v>
      </x:c>
      <x:c r="D2" t="str">
        <x:v>Centro</x:v>
      </x:c>
      <x:c r="E2" t="str">
        <x:v>Apartamento</x:v>
      </x:c>
      <x:c r="F2" t="str">
        <x:v>Ocupado</x:v>
      </x:c>
      <x:c r="G2" s="32" t="n">
        <x:v>1950</x:v>
      </x:c>
      <x:c r="H2" s="34" t="n">
        <x:v>0.11</x:v>
      </x:c>
      <x:c r="I2" s="32" t="n">
        <x:f>G2*H2</x:f>
        <x:v>214.5</x:v>
      </x:c>
      <x:c r="J2" s="36" t="n">
        <x:v>45957</x:v>
      </x:c>
      <x:c r="K2" s="36" t="n">
        <x:v>46322</x:v>
      </x:c>
      <x:c r="L2" s="36" t="n">
        <x:v>45957</x:v>
      </x:c>
      <x:c r="M2" s="36"/>
      <x:c r="N2" t="n">
        <x:v>0</x:v>
      </x:c>
      <x:c r="O2" t="str">
        <x:v>Em dia</x:v>
      </x:c>
      <x:c r="P2" t="n">
        <x:v>1</x:v>
      </x:c>
      <x:c r="Q2" t="n">
        <x:v>47</x:v>
      </x:c>
      <x:c r="R2" t="n">
        <x:v>1</x:v>
      </x:c>
      <x:c r="S2" s="32" t="n">
        <x:v>1700</x:v>
      </x:c>
      <x:c r="T2" s="34" t="n">
        <x:f>IF(S2=0,0,(G2-S2)/S2)</x:f>
        <x:v>0.14705882352941177</x:v>
      </x:c>
      <x:c r="U2" t="n">
        <x:v>0</x:v>
      </x:c>
      <x:c r="V2" t="n">
        <x:v>0</x:v>
      </x:c>
      <x:c r="W2" s="32" t="n">
        <x:f>IF(F2="Vago",G2,0)</x:f>
        <x:v>0</x:v>
      </x:c>
      <x:c r="X2" s="32" t="n">
        <x:f>I2*12</x:f>
        <x:v>2574</x:v>
      </x:c>
    </x:row>
    <x:row r="3">
      <x:c r="A3" t="str">
        <x:v>IMV-0002</x:v>
      </x:c>
      <x:c r="B3" t="str">
        <x:v>PROP-007</x:v>
      </x:c>
      <x:c r="C3" t="str">
        <x:v>Sorocaba</x:v>
      </x:c>
      <x:c r="D3" t="str">
        <x:v>Além Ponte</x:v>
      </x:c>
      <x:c r="E3" t="str">
        <x:v>Apartamento</x:v>
      </x:c>
      <x:c r="F3" t="str">
        <x:v>Vago</x:v>
      </x:c>
      <x:c r="G3" s="32" t="n">
        <x:v>2300</x:v>
      </x:c>
      <x:c r="H3" s="34" t="n">
        <x:v>0.08</x:v>
      </x:c>
      <x:c r="I3" s="32" t="n">
        <x:f>G3*H3</x:f>
        <x:v>184</x:v>
      </x:c>
      <x:c r="J3" s="36"/>
      <x:c r="K3" s="36"/>
      <x:c r="L3" s="36"/>
      <x:c r="M3" s="36" t="n">
        <x:v>46078</x:v>
      </x:c>
      <x:c r="N3" t="n">
        <x:v>159</x:v>
      </x:c>
      <x:c r="O3" t="str">
        <x:v>Sem inquilino</x:v>
      </x:c>
      <x:c r="P3" t="n">
        <x:v>0</x:v>
      </x:c>
      <x:c r="Q3" t="n">
        <x:v>148</x:v>
      </x:c>
      <x:c r="R3" t="n">
        <x:v>4</x:v>
      </x:c>
      <x:c r="S3" s="32" t="n">
        <x:v>2000</x:v>
      </x:c>
      <x:c r="T3" s="34" t="n">
        <x:f>IF(S3=0,0,(G3-S3)/S3)</x:f>
        <x:v>0.15</x:v>
      </x:c>
      <x:c r="U3" t="n">
        <x:v>15</x:v>
      </x:c>
      <x:c r="V3" t="n">
        <x:v>2</x:v>
      </x:c>
      <x:c r="W3" s="32" t="n">
        <x:f>IF(F3="Vago",G3,0)</x:f>
        <x:v>2300</x:v>
      </x:c>
      <x:c r="X3" s="32" t="n">
        <x:f>I3*12</x:f>
        <x:v>2208</x:v>
      </x:c>
    </x:row>
    <x:row r="4">
      <x:c r="A4" t="str">
        <x:v>IMV-0003</x:v>
      </x:c>
      <x:c r="B4" t="str">
        <x:v>PROP-011</x:v>
      </x:c>
      <x:c r="C4" t="str">
        <x:v>Indaiatuba</x:v>
      </x:c>
      <x:c r="D4" t="str">
        <x:v>Jardim Pau Preto</x:v>
      </x:c>
      <x:c r="E4" t="str">
        <x:v>Casa</x:v>
      </x:c>
      <x:c r="F4" t="str">
        <x:v>Ocupado</x:v>
      </x:c>
      <x:c r="G4" s="32" t="n">
        <x:v>4800</x:v>
      </x:c>
      <x:c r="H4" s="34" t="n">
        <x:v>0.11</x:v>
      </x:c>
      <x:c r="I4" s="32" t="n">
        <x:f>G4*H4</x:f>
        <x:v>528</x:v>
      </x:c>
      <x:c r="J4" s="36" t="n">
        <x:v>45000</x:v>
      </x:c>
      <x:c r="K4" s="36" t="n">
        <x:v>46412</x:v>
      </x:c>
      <x:c r="L4" s="36" t="n">
        <x:v>45000</x:v>
      </x:c>
      <x:c r="M4" s="36"/>
      <x:c r="N4" t="n">
        <x:v>0</x:v>
      </x:c>
      <x:c r="O4" t="str">
        <x:v>Atraso ocasional</x:v>
      </x:c>
      <x:c r="P4" t="n">
        <x:v>5</x:v>
      </x:c>
      <x:c r="Q4" t="n">
        <x:v>5</x:v>
      </x:c>
      <x:c r="R4" t="n">
        <x:v>3</x:v>
      </x:c>
      <x:c r="S4" s="32" t="n">
        <x:v>4500</x:v>
      </x:c>
      <x:c r="T4" s="34" t="n">
        <x:f>IF(S4=0,0,(G4-S4)/S4)</x:f>
        <x:v>0.06666666666666667</x:v>
      </x:c>
      <x:c r="U4" t="n">
        <x:v>0</x:v>
      </x:c>
      <x:c r="V4" t="n">
        <x:v>0</x:v>
      </x:c>
      <x:c r="W4" s="32" t="n">
        <x:f>IF(F4="Vago",G4,0)</x:f>
        <x:v>0</x:v>
      </x:c>
      <x:c r="X4" s="32" t="n">
        <x:f>I4*12</x:f>
        <x:v>6336</x:v>
      </x:c>
    </x:row>
    <x:row r="5">
      <x:c r="A5" t="str">
        <x:v>IMV-0004</x:v>
      </x:c>
      <x:c r="B5" t="str">
        <x:v>PROP-010</x:v>
      </x:c>
      <x:c r="C5" t="str">
        <x:v>Jundiaí</x:v>
      </x:c>
      <x:c r="D5" t="str">
        <x:v>Vila Arens</x:v>
      </x:c>
      <x:c r="E5" t="str">
        <x:v>Apartamento</x:v>
      </x:c>
      <x:c r="F5" t="str">
        <x:v>Ocupado</x:v>
      </x:c>
      <x:c r="G5" s="32" t="n">
        <x:v>1200</x:v>
      </x:c>
      <x:c r="H5" s="34" t="n">
        <x:v>0.1</x:v>
      </x:c>
      <x:c r="I5" s="32" t="n">
        <x:f>G5*H5</x:f>
        <x:v>120</x:v>
      </x:c>
      <x:c r="J5" s="36" t="n">
        <x:v>44825</x:v>
      </x:c>
      <x:c r="K5" s="36" t="n">
        <x:v>46322</x:v>
      </x:c>
      <x:c r="L5" s="36" t="n">
        <x:v>45920</x:v>
      </x:c>
      <x:c r="M5" s="36"/>
      <x:c r="N5" t="n">
        <x:v>0</x:v>
      </x:c>
      <x:c r="O5" t="str">
        <x:v>Atraso recorrente</x:v>
      </x:c>
      <x:c r="P5" t="n">
        <x:v>7</x:v>
      </x:c>
      <x:c r="Q5" t="n">
        <x:v>67</x:v>
      </x:c>
      <x:c r="R5" t="n">
        <x:v>2</x:v>
      </x:c>
      <x:c r="S5" s="32" t="n">
        <x:v>1250</x:v>
      </x:c>
      <x:c r="T5" s="34" t="n">
        <x:f>IF(S5=0,0,(G5-S5)/S5)</x:f>
        <x:v>-0.04</x:v>
      </x:c>
      <x:c r="U5" t="n">
        <x:v>3</x:v>
      </x:c>
      <x:c r="V5" t="n">
        <x:v>0</x:v>
      </x:c>
      <x:c r="W5" s="32" t="n">
        <x:f>IF(F5="Vago",G5,0)</x:f>
        <x:v>0</x:v>
      </x:c>
      <x:c r="X5" s="32" t="n">
        <x:f>I5*12</x:f>
        <x:v>1440</x:v>
      </x:c>
    </x:row>
    <x:row r="6">
      <x:c r="A6" t="str">
        <x:v>IMV-0005</x:v>
      </x:c>
      <x:c r="B6" t="str">
        <x:v>PROP-007</x:v>
      </x:c>
      <x:c r="C6" t="str">
        <x:v>Indaiatuba</x:v>
      </x:c>
      <x:c r="D6" t="str">
        <x:v>Jardim Pau Preto</x:v>
      </x:c>
      <x:c r="E6" t="str">
        <x:v>Casa</x:v>
      </x:c>
      <x:c r="F6" t="str">
        <x:v>Ocupado</x:v>
      </x:c>
      <x:c r="G6" s="32" t="n">
        <x:v>2500</x:v>
      </x:c>
      <x:c r="H6" s="34" t="n">
        <x:v>0.12</x:v>
      </x:c>
      <x:c r="I6" s="32" t="n">
        <x:f>G6*H6</x:f>
        <x:v>300</x:v>
      </x:c>
      <x:c r="J6" s="36" t="n">
        <x:v>45711</x:v>
      </x:c>
      <x:c r="K6" s="36" t="n">
        <x:v>46349</x:v>
      </x:c>
      <x:c r="L6" s="36" t="n">
        <x:v>45711</x:v>
      </x:c>
      <x:c r="M6" s="36"/>
      <x:c r="N6" t="n">
        <x:v>0</x:v>
      </x:c>
      <x:c r="O6" t="str">
        <x:v>Em dia</x:v>
      </x:c>
      <x:c r="P6" t="n">
        <x:v>5</x:v>
      </x:c>
      <x:c r="Q6" t="n">
        <x:v>141</x:v>
      </x:c>
      <x:c r="R6" t="n">
        <x:v>4</x:v>
      </x:c>
      <x:c r="S6" s="32" t="n">
        <x:v>2100</x:v>
      </x:c>
      <x:c r="T6" s="34" t="n">
        <x:f>IF(S6=0,0,(G6-S6)/S6)</x:f>
        <x:v>0.19047619047619047</x:v>
      </x:c>
      <x:c r="U6" t="n">
        <x:v>3</x:v>
      </x:c>
      <x:c r="V6" t="n">
        <x:v>0</x:v>
      </x:c>
      <x:c r="W6" s="32" t="n">
        <x:f>IF(F6="Vago",G6,0)</x:f>
        <x:v>0</x:v>
      </x:c>
      <x:c r="X6" s="32" t="n">
        <x:f>I6*12</x:f>
        <x:v>3600</x:v>
      </x:c>
    </x:row>
    <x:row r="7">
      <x:c r="A7" t="str">
        <x:v>IMV-0006</x:v>
      </x:c>
      <x:c r="B7" t="str">
        <x:v>PROP-001</x:v>
      </x:c>
      <x:c r="C7" t="str">
        <x:v>Sorocaba</x:v>
      </x:c>
      <x:c r="D7" t="str">
        <x:v>Além Ponte</x:v>
      </x:c>
      <x:c r="E7" t="str">
        <x:v>Apartamento</x:v>
      </x:c>
      <x:c r="F7" t="str">
        <x:v>Ocupado</x:v>
      </x:c>
      <x:c r="G7" s="32" t="n">
        <x:v>2800</x:v>
      </x:c>
      <x:c r="H7" s="34" t="n">
        <x:v>0.11</x:v>
      </x:c>
      <x:c r="I7" s="32" t="n">
        <x:f>G7*H7</x:f>
        <x:v>308</x:v>
      </x:c>
      <x:c r="J7" s="36" t="n">
        <x:v>44890</x:v>
      </x:c>
      <x:c r="K7" s="36" t="n">
        <x:v>46716</x:v>
      </x:c>
      <x:c r="L7" s="36" t="n">
        <x:v>44890</x:v>
      </x:c>
      <x:c r="M7" s="36"/>
      <x:c r="N7" t="n">
        <x:v>0</x:v>
      </x:c>
      <x:c r="O7" t="str">
        <x:v>Atraso ocasional</x:v>
      </x:c>
      <x:c r="P7" t="n">
        <x:v>1</x:v>
      </x:c>
      <x:c r="Q7" t="n">
        <x:v>77</x:v>
      </x:c>
      <x:c r="R7" t="n">
        <x:v>1</x:v>
      </x:c>
      <x:c r="S7" s="32" t="n">
        <x:v>3150</x:v>
      </x:c>
      <x:c r="T7" s="34" t="n">
        <x:f>IF(S7=0,0,(G7-S7)/S7)</x:f>
        <x:v>-0.1111111111111111</x:v>
      </x:c>
      <x:c r="U7" t="n">
        <x:v>2</x:v>
      </x:c>
      <x:c r="V7" t="n">
        <x:v>0</x:v>
      </x:c>
      <x:c r="W7" s="32" t="n">
        <x:f>IF(F7="Vago",G7,0)</x:f>
        <x:v>0</x:v>
      </x:c>
      <x:c r="X7" s="32" t="n">
        <x:f>I7*12</x:f>
        <x:v>3696</x:v>
      </x:c>
    </x:row>
    <x:row r="8">
      <x:c r="A8" t="str">
        <x:v>IMV-0007</x:v>
      </x:c>
      <x:c r="B8" t="str">
        <x:v>PROP-001</x:v>
      </x:c>
      <x:c r="C8" t="str">
        <x:v>Indaiatuba</x:v>
      </x:c>
      <x:c r="D8" t="str">
        <x:v>Jardim Pau Preto</x:v>
      </x:c>
      <x:c r="E8" t="str">
        <x:v>Casa</x:v>
      </x:c>
      <x:c r="F8" t="str">
        <x:v>Ocupado</x:v>
      </x:c>
      <x:c r="G8" s="32" t="n">
        <x:v>5050</x:v>
      </x:c>
      <x:c r="H8" s="34" t="n">
        <x:v>0.08</x:v>
      </x:c>
      <x:c r="I8" s="32" t="n">
        <x:f>G8*H8</x:f>
        <x:v>404</x:v>
      </x:c>
      <x:c r="J8" s="36" t="n">
        <x:v>45329</x:v>
      </x:c>
      <x:c r="K8" s="36" t="n">
        <x:v>46645</x:v>
      </x:c>
      <x:c r="L8" s="36" t="n">
        <x:v>46059</x:v>
      </x:c>
      <x:c r="M8" s="36"/>
      <x:c r="N8" t="n">
        <x:v>0</x:v>
      </x:c>
      <x:c r="O8" t="str">
        <x:v>Em dia</x:v>
      </x:c>
      <x:c r="P8" t="n">
        <x:v>5</x:v>
      </x:c>
      <x:c r="Q8" t="n">
        <x:v>22</x:v>
      </x:c>
      <x:c r="R8" t="n">
        <x:v>1</x:v>
      </x:c>
      <x:c r="S8" s="32" t="n">
        <x:v>4150</x:v>
      </x:c>
      <x:c r="T8" s="34" t="n">
        <x:f>IF(S8=0,0,(G8-S8)/S8)</x:f>
        <x:v>0.21686746987951808</x:v>
      </x:c>
      <x:c r="U8" t="n">
        <x:v>0</x:v>
      </x:c>
      <x:c r="V8" t="n">
        <x:v>0</x:v>
      </x:c>
      <x:c r="W8" s="32" t="n">
        <x:f>IF(F8="Vago",G8,0)</x:f>
        <x:v>0</x:v>
      </x:c>
      <x:c r="X8" s="32" t="n">
        <x:f>I8*12</x:f>
        <x:v>4848</x:v>
      </x:c>
    </x:row>
    <x:row r="9">
      <x:c r="A9" t="str">
        <x:v>IMV-0008</x:v>
      </x:c>
      <x:c r="B9" t="str">
        <x:v>PROP-015</x:v>
      </x:c>
      <x:c r="C9" t="str">
        <x:v>Indaiatuba</x:v>
      </x:c>
      <x:c r="D9" t="str">
        <x:v>Jardim Pau Preto</x:v>
      </x:c>
      <x:c r="E9" t="str">
        <x:v>Apartamento</x:v>
      </x:c>
      <x:c r="F9" t="str">
        <x:v>Vago</x:v>
      </x:c>
      <x:c r="G9" s="32" t="n">
        <x:v>1350</x:v>
      </x:c>
      <x:c r="H9" s="34" t="n">
        <x:v>0.09</x:v>
      </x:c>
      <x:c r="I9" s="32" t="n">
        <x:f>G9*H9</x:f>
        <x:v>121.5</x:v>
      </x:c>
      <x:c r="J9" s="36"/>
      <x:c r="K9" s="36"/>
      <x:c r="L9" s="36"/>
      <x:c r="M9" s="36" t="n">
        <x:v>46185</x:v>
      </x:c>
      <x:c r="N9" t="n">
        <x:v>52</x:v>
      </x:c>
      <x:c r="O9" t="str">
        <x:v>Sem inquilino</x:v>
      </x:c>
      <x:c r="P9" t="n">
        <x:v>6</x:v>
      </x:c>
      <x:c r="Q9" t="n">
        <x:v>69</x:v>
      </x:c>
      <x:c r="R9" t="n">
        <x:v>1</x:v>
      </x:c>
      <x:c r="S9" s="32" t="n">
        <x:v>1100</x:v>
      </x:c>
      <x:c r="T9" s="34" t="n">
        <x:f>IF(S9=0,0,(G9-S9)/S9)</x:f>
        <x:v>0.22727272727272727</x:v>
      </x:c>
      <x:c r="U9" t="n">
        <x:v>12</x:v>
      </x:c>
      <x:c r="V9" t="n">
        <x:v>2</x:v>
      </x:c>
      <x:c r="W9" s="32" t="n">
        <x:f>IF(F9="Vago",G9,0)</x:f>
        <x:v>1350</x:v>
      </x:c>
      <x:c r="X9" s="32" t="n">
        <x:f>I9*12</x:f>
        <x:v>1458</x:v>
      </x:c>
    </x:row>
    <x:row r="10">
      <x:c r="A10" t="str">
        <x:v>IMV-0009</x:v>
      </x:c>
      <x:c r="B10" t="str">
        <x:v>PROP-013</x:v>
      </x:c>
      <x:c r="C10" t="str">
        <x:v>Indaiatuba</x:v>
      </x:c>
      <x:c r="D10" t="str">
        <x:v>Jardim Pau Preto</x:v>
      </x:c>
      <x:c r="E10" t="str">
        <x:v>Apartamento</x:v>
      </x:c>
      <x:c r="F10" t="str">
        <x:v>Ocupado</x:v>
      </x:c>
      <x:c r="G10" s="32" t="n">
        <x:v>1450</x:v>
      </x:c>
      <x:c r="H10" s="34" t="n">
        <x:v>0.1</x:v>
      </x:c>
      <x:c r="I10" s="32" t="n">
        <x:f>G10*H10</x:f>
        <x:v>145</x:v>
      </x:c>
      <x:c r="J10" s="36" t="n">
        <x:v>44939</x:v>
      </x:c>
      <x:c r="K10" s="36" t="n">
        <x:v>46325</x:v>
      </x:c>
      <x:c r="L10" s="36" t="n">
        <x:v>46034</x:v>
      </x:c>
      <x:c r="M10" s="36"/>
      <x:c r="N10" t="n">
        <x:v>0</x:v>
      </x:c>
      <x:c r="O10" t="str">
        <x:v>Atraso ocasional</x:v>
      </x:c>
      <x:c r="P10" t="n">
        <x:v>2</x:v>
      </x:c>
      <x:c r="Q10" t="n">
        <x:v>75</x:v>
      </x:c>
      <x:c r="R10" t="n">
        <x:v>3</x:v>
      </x:c>
      <x:c r="S10" s="32" t="n">
        <x:v>1350</x:v>
      </x:c>
      <x:c r="T10" s="34" t="n">
        <x:f>IF(S10=0,0,(G10-S10)/S10)</x:f>
        <x:v>0.07407407407407407</x:v>
      </x:c>
      <x:c r="U10" t="n">
        <x:v>3</x:v>
      </x:c>
      <x:c r="V10" t="n">
        <x:v>0</x:v>
      </x:c>
      <x:c r="W10" s="32" t="n">
        <x:f>IF(F10="Vago",G10,0)</x:f>
        <x:v>0</x:v>
      </x:c>
      <x:c r="X10" s="32" t="n">
        <x:f>I10*12</x:f>
        <x:v>1740</x:v>
      </x:c>
    </x:row>
    <x:row r="11">
      <x:c r="A11" t="str">
        <x:v>IMV-0010</x:v>
      </x:c>
      <x:c r="B11" t="str">
        <x:v>PROP-013</x:v>
      </x:c>
      <x:c r="C11" t="str">
        <x:v>Valinhos</x:v>
      </x:c>
      <x:c r="D11" t="str">
        <x:v>Centro</x:v>
      </x:c>
      <x:c r="E11" t="str">
        <x:v>Casa</x:v>
      </x:c>
      <x:c r="F11" t="str">
        <x:v>Ocupado</x:v>
      </x:c>
      <x:c r="G11" s="32" t="n">
        <x:v>3550</x:v>
      </x:c>
      <x:c r="H11" s="34" t="n">
        <x:v>0.09</x:v>
      </x:c>
      <x:c r="I11" s="32" t="n">
        <x:f>G11*H11</x:f>
        <x:v>319.5</x:v>
      </x:c>
      <x:c r="J11" s="36" t="n">
        <x:v>45294</x:v>
      </x:c>
      <x:c r="K11" s="36" t="n">
        <x:v>46308</x:v>
      </x:c>
      <x:c r="L11" s="36" t="n">
        <x:v>45294</x:v>
      </x:c>
      <x:c r="M11" s="36"/>
      <x:c r="N11" t="n">
        <x:v>0</x:v>
      </x:c>
      <x:c r="O11" t="str">
        <x:v>Atraso recorrente</x:v>
      </x:c>
      <x:c r="P11" t="n">
        <x:v>7</x:v>
      </x:c>
      <x:c r="Q11" t="n">
        <x:v>173</x:v>
      </x:c>
      <x:c r="R11" t="n">
        <x:v>3</x:v>
      </x:c>
      <x:c r="S11" s="32" t="n">
        <x:v>4050</x:v>
      </x:c>
      <x:c r="T11" s="34" t="n">
        <x:f>IF(S11=0,0,(G11-S11)/S11)</x:f>
        <x:v>-0.12345679012345678</x:v>
      </x:c>
      <x:c r="U11" t="n">
        <x:v>2</x:v>
      </x:c>
      <x:c r="V11" t="n">
        <x:v>0</x:v>
      </x:c>
      <x:c r="W11" s="32" t="n">
        <x:f>IF(F11="Vago",G11,0)</x:f>
        <x:v>0</x:v>
      </x:c>
      <x:c r="X11" s="32" t="n">
        <x:f>I11*12</x:f>
        <x:v>3834</x:v>
      </x:c>
    </x:row>
    <x:row r="12">
      <x:c r="A12" t="str">
        <x:v>IMV-0011</x:v>
      </x:c>
      <x:c r="B12" t="str">
        <x:v>PROP-012</x:v>
      </x:c>
      <x:c r="C12" t="str">
        <x:v>Valinhos</x:v>
      </x:c>
      <x:c r="D12" t="str">
        <x:v>Vila Santana</x:v>
      </x:c>
      <x:c r="E12" t="str">
        <x:v>Apartamento</x:v>
      </x:c>
      <x:c r="F12" t="str">
        <x:v>Ocupado</x:v>
      </x:c>
      <x:c r="G12" s="32" t="n">
        <x:v>2450</x:v>
      </x:c>
      <x:c r="H12" s="34" t="n">
        <x:v>0.08</x:v>
      </x:c>
      <x:c r="I12" s="32" t="n">
        <x:f>G12*H12</x:f>
        <x:v>196</x:v>
      </x:c>
      <x:c r="J12" s="36" t="n">
        <x:v>46028</x:v>
      </x:c>
      <x:c r="K12" s="36" t="n">
        <x:v>47123</x:v>
      </x:c>
      <x:c r="L12" s="36" t="n">
        <x:v>46028</x:v>
      </x:c>
      <x:c r="M12" s="36"/>
      <x:c r="N12" t="n">
        <x:v>0</x:v>
      </x:c>
      <x:c r="O12" t="str">
        <x:v>Atraso ocasional</x:v>
      </x:c>
      <x:c r="P12" t="n">
        <x:v>4</x:v>
      </x:c>
      <x:c r="Q12" t="n">
        <x:v>64</x:v>
      </x:c>
      <x:c r="R12" t="n">
        <x:v>5</x:v>
      </x:c>
      <x:c r="S12" s="32" t="n">
        <x:v>2950</x:v>
      </x:c>
      <x:c r="T12" s="34" t="n">
        <x:f>IF(S12=0,0,(G12-S12)/S12)</x:f>
        <x:v>-0.1694915254237288</x:v>
      </x:c>
      <x:c r="U12" t="n">
        <x:v>2</x:v>
      </x:c>
      <x:c r="V12" t="n">
        <x:v>0</x:v>
      </x:c>
      <x:c r="W12" s="32" t="n">
        <x:f>IF(F12="Vago",G12,0)</x:f>
        <x:v>0</x:v>
      </x:c>
      <x:c r="X12" s="32" t="n">
        <x:f>I12*12</x:f>
        <x:v>2352</x:v>
      </x:c>
    </x:row>
    <x:row r="13">
      <x:c r="A13" t="str">
        <x:v>IMV-0012</x:v>
      </x:c>
      <x:c r="B13" t="str">
        <x:v>PROP-005</x:v>
      </x:c>
      <x:c r="C13" t="str">
        <x:v>Indaiatuba</x:v>
      </x:c>
      <x:c r="D13" t="str">
        <x:v>Jardim Morada do Sol</x:v>
      </x:c>
      <x:c r="E13" t="str">
        <x:v>Apartamento</x:v>
      </x:c>
      <x:c r="F13" t="str">
        <x:v>Ocupado</x:v>
      </x:c>
      <x:c r="G13" s="32" t="n">
        <x:v>1250</x:v>
      </x:c>
      <x:c r="H13" s="34" t="n">
        <x:v>0.1</x:v>
      </x:c>
      <x:c r="I13" s="32" t="n">
        <x:f>G13*H13</x:f>
        <x:v>125</x:v>
      </x:c>
      <x:c r="J13" s="36" t="n">
        <x:v>45502</x:v>
      </x:c>
      <x:c r="K13" s="36" t="n">
        <x:v>46614</x:v>
      </x:c>
      <x:c r="L13" s="36" t="n">
        <x:v>46232</x:v>
      </x:c>
      <x:c r="M13" s="36"/>
      <x:c r="N13" t="n">
        <x:v>0</x:v>
      </x:c>
      <x:c r="O13" t="str">
        <x:v>Em dia</x:v>
      </x:c>
      <x:c r="P13" t="n">
        <x:v>4</x:v>
      </x:c>
      <x:c r="Q13" t="n">
        <x:v>173</x:v>
      </x:c>
      <x:c r="R13" t="n">
        <x:v>5</x:v>
      </x:c>
      <x:c r="S13" s="32" t="n">
        <x:v>1000</x:v>
      </x:c>
      <x:c r="T13" s="34" t="n">
        <x:f>IF(S13=0,0,(G13-S13)/S13)</x:f>
        <x:v>0.25</x:v>
      </x:c>
      <x:c r="U13" t="n">
        <x:v>3</x:v>
      </x:c>
      <x:c r="V13" t="n">
        <x:v>0</x:v>
      </x:c>
      <x:c r="W13" s="32" t="n">
        <x:f>IF(F13="Vago",G13,0)</x:f>
        <x:v>0</x:v>
      </x:c>
      <x:c r="X13" s="32" t="n">
        <x:f>I13*12</x:f>
        <x:v>1500</x:v>
      </x:c>
    </x:row>
    <x:row r="14">
      <x:c r="A14" t="str">
        <x:v>IMV-0013</x:v>
      </x:c>
      <x:c r="B14" t="str">
        <x:v>PROP-011</x:v>
      </x:c>
      <x:c r="C14" t="str">
        <x:v>Jundiaí</x:v>
      </x:c>
      <x:c r="D14" t="str">
        <x:v>Anhangabaú</x:v>
      </x:c>
      <x:c r="E14" t="str">
        <x:v>Galpão</x:v>
      </x:c>
      <x:c r="F14" t="str">
        <x:v>Ocupado</x:v>
      </x:c>
      <x:c r="G14" s="32" t="n">
        <x:v>3200</x:v>
      </x:c>
      <x:c r="H14" s="34" t="n">
        <x:v>0.12</x:v>
      </x:c>
      <x:c r="I14" s="32" t="n">
        <x:f>G14*H14</x:f>
        <x:v>384</x:v>
      </x:c>
      <x:c r="J14" s="36" t="n">
        <x:v>45269</x:v>
      </x:c>
      <x:c r="K14" s="36" t="n">
        <x:v>46364</x:v>
      </x:c>
      <x:c r="L14" s="36" t="n">
        <x:v>45269</x:v>
      </x:c>
      <x:c r="M14" s="36"/>
      <x:c r="N14" t="n">
        <x:v>0</x:v>
      </x:c>
      <x:c r="O14" t="str">
        <x:v>Atraso ocasional</x:v>
      </x:c>
      <x:c r="P14" t="n">
        <x:v>3</x:v>
      </x:c>
      <x:c r="Q14" t="n">
        <x:v>8</x:v>
      </x:c>
      <x:c r="R14" t="n">
        <x:v>3</x:v>
      </x:c>
      <x:c r="S14" s="32" t="n">
        <x:v>3000</x:v>
      </x:c>
      <x:c r="T14" s="34" t="n">
        <x:f>IF(S14=0,0,(G14-S14)/S14)</x:f>
        <x:v>0.06666666666666667</x:v>
      </x:c>
      <x:c r="U14" t="n">
        <x:v>3</x:v>
      </x:c>
      <x:c r="V14" t="n">
        <x:v>0</x:v>
      </x:c>
      <x:c r="W14" s="32" t="n">
        <x:f>IF(F14="Vago",G14,0)</x:f>
        <x:v>0</x:v>
      </x:c>
      <x:c r="X14" s="32" t="n">
        <x:f>I14*12</x:f>
        <x:v>4608</x:v>
      </x:c>
    </x:row>
    <x:row r="15">
      <x:c r="A15" t="str">
        <x:v>IMV-0014</x:v>
      </x:c>
      <x:c r="B15" t="str">
        <x:v>PROP-009</x:v>
      </x:c>
      <x:c r="C15" t="str">
        <x:v>Campinas</x:v>
      </x:c>
      <x:c r="D15" t="str">
        <x:v>Taquaral</x:v>
      </x:c>
      <x:c r="E15" t="str">
        <x:v>Apartamento</x:v>
      </x:c>
      <x:c r="F15" t="str">
        <x:v>Ocupado</x:v>
      </x:c>
      <x:c r="G15" s="32" t="n">
        <x:v>5550</x:v>
      </x:c>
      <x:c r="H15" s="34" t="n">
        <x:v>0.11</x:v>
      </x:c>
      <x:c r="I15" s="32" t="n">
        <x:f>G15*H15</x:f>
        <x:v>610.5</x:v>
      </x:c>
      <x:c r="J15" s="36" t="n">
        <x:v>44963</x:v>
      </x:c>
      <x:c r="K15" s="36" t="n">
        <x:v>46504</x:v>
      </x:c>
      <x:c r="L15" s="36" t="n">
        <x:v>45693</x:v>
      </x:c>
      <x:c r="M15" s="36"/>
      <x:c r="N15" t="n">
        <x:v>0</x:v>
      </x:c>
      <x:c r="O15" t="str">
        <x:v>Em dia</x:v>
      </x:c>
      <x:c r="P15" t="n">
        <x:v>4</x:v>
      </x:c>
      <x:c r="Q15" t="n">
        <x:v>116</x:v>
      </x:c>
      <x:c r="R15" t="n">
        <x:v>1</x:v>
      </x:c>
      <x:c r="S15" s="32" t="n">
        <x:v>4900</x:v>
      </x:c>
      <x:c r="T15" s="34" t="n">
        <x:f>IF(S15=0,0,(G15-S15)/S15)</x:f>
        <x:v>0.1326530612244898</x:v>
      </x:c>
      <x:c r="U15" t="n">
        <x:v>2</x:v>
      </x:c>
      <x:c r="V15" t="n">
        <x:v>0</x:v>
      </x:c>
      <x:c r="W15" s="32" t="n">
        <x:f>IF(F15="Vago",G15,0)</x:f>
        <x:v>0</x:v>
      </x:c>
      <x:c r="X15" s="32" t="n">
        <x:f>I15*12</x:f>
        <x:v>7326</x:v>
      </x:c>
    </x:row>
    <x:row r="16">
      <x:c r="A16" t="str">
        <x:v>IMV-0015</x:v>
      </x:c>
      <x:c r="B16" t="str">
        <x:v>PROP-014</x:v>
      </x:c>
      <x:c r="C16" t="str">
        <x:v>Campinas</x:v>
      </x:c>
      <x:c r="D16" t="str">
        <x:v>Taquaral</x:v>
      </x:c>
      <x:c r="E16" t="str">
        <x:v>Casa</x:v>
      </x:c>
      <x:c r="F16" t="str">
        <x:v>Ocupado</x:v>
      </x:c>
      <x:c r="G16" s="32" t="n">
        <x:v>5550</x:v>
      </x:c>
      <x:c r="H16" s="34" t="n">
        <x:v>0.12</x:v>
      </x:c>
      <x:c r="I16" s="32" t="n">
        <x:f>G16*H16</x:f>
        <x:v>666</x:v>
      </x:c>
      <x:c r="J16" s="36" t="n">
        <x:v>45602</x:v>
      </x:c>
      <x:c r="K16" s="36" t="n">
        <x:v>46704</x:v>
      </x:c>
      <x:c r="L16" s="36" t="n">
        <x:v>45967</x:v>
      </x:c>
      <x:c r="M16" s="36"/>
      <x:c r="N16" t="n">
        <x:v>0</x:v>
      </x:c>
      <x:c r="O16" t="str">
        <x:v>Atraso recorrente</x:v>
      </x:c>
      <x:c r="P16" t="n">
        <x:v>3</x:v>
      </x:c>
      <x:c r="Q16" t="n">
        <x:v>70</x:v>
      </x:c>
      <x:c r="R16" t="n">
        <x:v>0</x:v>
      </x:c>
      <x:c r="S16" s="32" t="n">
        <x:v>4450</x:v>
      </x:c>
      <x:c r="T16" s="34" t="n">
        <x:f>IF(S16=0,0,(G16-S16)/S16)</x:f>
        <x:v>0.24719101123595505</x:v>
      </x:c>
      <x:c r="U16" t="n">
        <x:v>1</x:v>
      </x:c>
      <x:c r="V16" t="n">
        <x:v>0</x:v>
      </x:c>
      <x:c r="W16" s="32" t="n">
        <x:f>IF(F16="Vago",G16,0)</x:f>
        <x:v>0</x:v>
      </x:c>
      <x:c r="X16" s="32" t="n">
        <x:f>I16*12</x:f>
        <x:v>7992</x:v>
      </x:c>
    </x:row>
    <x:row r="17">
      <x:c r="A17" t="str">
        <x:v>IMV-0016</x:v>
      </x:c>
      <x:c r="B17" t="str">
        <x:v>PROP-012</x:v>
      </x:c>
      <x:c r="C17" t="str">
        <x:v>Indaiatuba</x:v>
      </x:c>
      <x:c r="D17" t="str">
        <x:v>Jardim Pau Preto</x:v>
      </x:c>
      <x:c r="E17" t="str">
        <x:v>Apartamento</x:v>
      </x:c>
      <x:c r="F17" t="str">
        <x:v>Ocupado</x:v>
      </x:c>
      <x:c r="G17" s="32" t="n">
        <x:v>2050</x:v>
      </x:c>
      <x:c r="H17" s="34" t="n">
        <x:v>0.1</x:v>
      </x:c>
      <x:c r="I17" s="32" t="n">
        <x:f>G17*H17</x:f>
        <x:v>205</x:v>
      </x:c>
      <x:c r="J17" s="36" t="n">
        <x:v>45521</x:v>
      </x:c>
      <x:c r="K17" s="36" t="n">
        <x:v>46251</x:v>
      </x:c>
      <x:c r="L17" s="36" t="n">
        <x:v>45886</x:v>
      </x:c>
      <x:c r="M17" s="36"/>
      <x:c r="N17" t="n">
        <x:v>0</x:v>
      </x:c>
      <x:c r="O17" t="str">
        <x:v>Em dia</x:v>
      </x:c>
      <x:c r="P17" t="n">
        <x:v>7</x:v>
      </x:c>
      <x:c r="Q17" t="n">
        <x:v>133</x:v>
      </x:c>
      <x:c r="R17" t="n">
        <x:v>5</x:v>
      </x:c>
      <x:c r="S17" s="32" t="n">
        <x:v>1700</x:v>
      </x:c>
      <x:c r="T17" s="34" t="n">
        <x:f>IF(S17=0,0,(G17-S17)/S17)</x:f>
        <x:v>0.20588235294117646</x:v>
      </x:c>
      <x:c r="U17" t="n">
        <x:v>0</x:v>
      </x:c>
      <x:c r="V17" t="n">
        <x:v>0</x:v>
      </x:c>
      <x:c r="W17" s="32" t="n">
        <x:f>IF(F17="Vago",G17,0)</x:f>
        <x:v>0</x:v>
      </x:c>
      <x:c r="X17" s="32" t="n">
        <x:f>I17*12</x:f>
        <x:v>2460</x:v>
      </x:c>
    </x:row>
    <x:row r="18">
      <x:c r="A18" t="str">
        <x:v>IMV-0017</x:v>
      </x:c>
      <x:c r="B18" t="str">
        <x:v>PROP-006</x:v>
      </x:c>
      <x:c r="C18" t="str">
        <x:v>Campinas</x:v>
      </x:c>
      <x:c r="D18" t="str">
        <x:v>Cambuí</x:v>
      </x:c>
      <x:c r="E18" t="str">
        <x:v>Apartamento</x:v>
      </x:c>
      <x:c r="F18" t="str">
        <x:v>Ocupado</x:v>
      </x:c>
      <x:c r="G18" s="32" t="n">
        <x:v>2500</x:v>
      </x:c>
      <x:c r="H18" s="34" t="n">
        <x:v>0.08</x:v>
      </x:c>
      <x:c r="I18" s="32" t="n">
        <x:f>G18*H18</x:f>
        <x:v>200</x:v>
      </x:c>
      <x:c r="J18" s="36" t="n">
        <x:v>44958</x:v>
      </x:c>
      <x:c r="K18" s="36" t="n">
        <x:v>46515</x:v>
      </x:c>
      <x:c r="L18" s="36" t="n">
        <x:v>46053</x:v>
      </x:c>
      <x:c r="M18" s="36"/>
      <x:c r="N18" t="n">
        <x:v>0</x:v>
      </x:c>
      <x:c r="O18" t="str">
        <x:v>Em dia</x:v>
      </x:c>
      <x:c r="P18" t="n">
        <x:v>0</x:v>
      </x:c>
      <x:c r="Q18" t="n">
        <x:v>139</x:v>
      </x:c>
      <x:c r="R18" t="n">
        <x:v>3</x:v>
      </x:c>
      <x:c r="S18" s="32" t="n">
        <x:v>2000</x:v>
      </x:c>
      <x:c r="T18" s="34" t="n">
        <x:f>IF(S18=0,0,(G18-S18)/S18)</x:f>
        <x:v>0.25</x:v>
      </x:c>
      <x:c r="U18" t="n">
        <x:v>3</x:v>
      </x:c>
      <x:c r="V18" t="n">
        <x:v>0</x:v>
      </x:c>
      <x:c r="W18" s="32" t="n">
        <x:f>IF(F18="Vago",G18,0)</x:f>
        <x:v>0</x:v>
      </x:c>
      <x:c r="X18" s="32" t="n">
        <x:f>I18*12</x:f>
        <x:v>2400</x:v>
      </x:c>
    </x:row>
    <x:row r="19">
      <x:c r="A19" t="str">
        <x:v>IMV-0018</x:v>
      </x:c>
      <x:c r="B19" t="str">
        <x:v>PROP-011</x:v>
      </x:c>
      <x:c r="C19" t="str">
        <x:v>Valinhos</x:v>
      </x:c>
      <x:c r="D19" t="str">
        <x:v>Jardim Paiquerê</x:v>
      </x:c>
      <x:c r="E19" t="str">
        <x:v>Sala Comercial</x:v>
      </x:c>
      <x:c r="F19" t="str">
        <x:v>Ocupado</x:v>
      </x:c>
      <x:c r="G19" s="32" t="n">
        <x:v>4950</x:v>
      </x:c>
      <x:c r="H19" s="34" t="n">
        <x:v>0.08</x:v>
      </x:c>
      <x:c r="I19" s="32" t="n">
        <x:f>G19*H19</x:f>
        <x:v>396</x:v>
      </x:c>
      <x:c r="J19" s="36" t="n">
        <x:v>45569</x:v>
      </x:c>
      <x:c r="K19" s="36" t="n">
        <x:v>46299</x:v>
      </x:c>
      <x:c r="L19" s="36" t="n">
        <x:v>45569</x:v>
      </x:c>
      <x:c r="M19" s="36"/>
      <x:c r="N19" t="n">
        <x:v>0</x:v>
      </x:c>
      <x:c r="O19" t="str">
        <x:v>Atraso recorrente</x:v>
      </x:c>
      <x:c r="P19" t="n">
        <x:v>5</x:v>
      </x:c>
      <x:c r="Q19" t="n">
        <x:v>113</x:v>
      </x:c>
      <x:c r="R19" t="n">
        <x:v>3</x:v>
      </x:c>
      <x:c r="S19" s="32" t="n">
        <x:v>4600</x:v>
      </x:c>
      <x:c r="T19" s="34" t="n">
        <x:f>IF(S19=0,0,(G19-S19)/S19)</x:f>
        <x:v>0.07608695652173914</x:v>
      </x:c>
      <x:c r="U19" t="n">
        <x:v>3</x:v>
      </x:c>
      <x:c r="V19" t="n">
        <x:v>0</x:v>
      </x:c>
      <x:c r="W19" s="32" t="n">
        <x:f>IF(F19="Vago",G19,0)</x:f>
        <x:v>0</x:v>
      </x:c>
      <x:c r="X19" s="32" t="n">
        <x:f>I19*12</x:f>
        <x:v>4752</x:v>
      </x:c>
    </x:row>
    <x:row r="20">
      <x:c r="A20" t="str">
        <x:v>IMV-0019</x:v>
      </x:c>
      <x:c r="B20" t="str">
        <x:v>PROP-001</x:v>
      </x:c>
      <x:c r="C20" t="str">
        <x:v>Indaiatuba</x:v>
      </x:c>
      <x:c r="D20" t="str">
        <x:v>Jardim Pau Preto</x:v>
      </x:c>
      <x:c r="E20" t="str">
        <x:v>Casa</x:v>
      </x:c>
      <x:c r="F20" t="str">
        <x:v>Ocupado</x:v>
      </x:c>
      <x:c r="G20" s="32" t="n">
        <x:v>3850</x:v>
      </x:c>
      <x:c r="H20" s="34" t="n">
        <x:v>0.11</x:v>
      </x:c>
      <x:c r="I20" s="32" t="n">
        <x:f>G20*H20</x:f>
        <x:v>423.5</x:v>
      </x:c>
      <x:c r="J20" s="36" t="n">
        <x:v>45555</x:v>
      </x:c>
      <x:c r="K20" s="36" t="n">
        <x:v>46502</x:v>
      </x:c>
      <x:c r="L20" s="36" t="n">
        <x:v>45555</x:v>
      </x:c>
      <x:c r="M20" s="36"/>
      <x:c r="N20" t="n">
        <x:v>0</x:v>
      </x:c>
      <x:c r="O20" t="str">
        <x:v>Em dia</x:v>
      </x:c>
      <x:c r="P20" t="n">
        <x:v>2</x:v>
      </x:c>
      <x:c r="Q20" t="n">
        <x:v>172</x:v>
      </x:c>
      <x:c r="R20" t="n">
        <x:v>1</x:v>
      </x:c>
      <x:c r="S20" s="32" t="n">
        <x:v>3300</x:v>
      </x:c>
      <x:c r="T20" s="34" t="n">
        <x:f>IF(S20=0,0,(G20-S20)/S20)</x:f>
        <x:v>0.16666666666666666</x:v>
      </x:c>
      <x:c r="U20" t="n">
        <x:v>1</x:v>
      </x:c>
      <x:c r="V20" t="n">
        <x:v>0</x:v>
      </x:c>
      <x:c r="W20" s="32" t="n">
        <x:f>IF(F20="Vago",G20,0)</x:f>
        <x:v>0</x:v>
      </x:c>
      <x:c r="X20" s="32" t="n">
        <x:f>I20*12</x:f>
        <x:v>5082</x:v>
      </x:c>
    </x:row>
    <x:row r="21">
      <x:c r="A21" t="str">
        <x:v>IMV-0020</x:v>
      </x:c>
      <x:c r="B21" t="str">
        <x:v>PROP-015</x:v>
      </x:c>
      <x:c r="C21" t="str">
        <x:v>Indaiatuba</x:v>
      </x:c>
      <x:c r="D21" t="str">
        <x:v>Jardim Morada do Sol</x:v>
      </x:c>
      <x:c r="E21" t="str">
        <x:v>Apartamento</x:v>
      </x:c>
      <x:c r="F21" t="str">
        <x:v>Ocupado</x:v>
      </x:c>
      <x:c r="G21" s="32" t="n">
        <x:v>2050</x:v>
      </x:c>
      <x:c r="H21" s="34" t="n">
        <x:v>0.12</x:v>
      </x:c>
      <x:c r="I21" s="32" t="n">
        <x:f>G21*H21</x:f>
        <x:v>246</x:v>
      </x:c>
      <x:c r="J21" s="36" t="n">
        <x:v>46136</x:v>
      </x:c>
      <x:c r="K21" s="36" t="n">
        <x:v>47231</x:v>
      </x:c>
      <x:c r="L21" s="36" t="n">
        <x:v>46136</x:v>
      </x:c>
      <x:c r="M21" s="36"/>
      <x:c r="N21" t="n">
        <x:v>0</x:v>
      </x:c>
      <x:c r="O21" t="str">
        <x:v>Atraso recorrente</x:v>
      </x:c>
      <x:c r="P21" t="n">
        <x:v>2</x:v>
      </x:c>
      <x:c r="Q21" t="n">
        <x:v>170</x:v>
      </x:c>
      <x:c r="R21" t="n">
        <x:v>1</x:v>
      </x:c>
      <x:c r="S21" s="32" t="n">
        <x:v>2150</x:v>
      </x:c>
      <x:c r="T21" s="34" t="n">
        <x:f>IF(S21=0,0,(G21-S21)/S21)</x:f>
        <x:v>-0.046511627906976744</x:v>
      </x:c>
      <x:c r="U21" t="n">
        <x:v>0</x:v>
      </x:c>
      <x:c r="V21" t="n">
        <x:v>0</x:v>
      </x:c>
      <x:c r="W21" s="32" t="n">
        <x:f>IF(F21="Vago",G21,0)</x:f>
        <x:v>0</x:v>
      </x:c>
      <x:c r="X21" s="32" t="n">
        <x:f>I21*12</x:f>
        <x:v>2952</x:v>
      </x:c>
    </x:row>
    <x:row r="22">
      <x:c r="A22" t="str">
        <x:v>IMV-0021</x:v>
      </x:c>
      <x:c r="B22" t="str">
        <x:v>PROP-009</x:v>
      </x:c>
      <x:c r="C22" t="str">
        <x:v>Jundiaí</x:v>
      </x:c>
      <x:c r="D22" t="str">
        <x:v>Medeiros</x:v>
      </x:c>
      <x:c r="E22" t="str">
        <x:v>Apartamento</x:v>
      </x:c>
      <x:c r="F22" t="str">
        <x:v>Ocupado</x:v>
      </x:c>
      <x:c r="G22" s="32" t="n">
        <x:v>5750</x:v>
      </x:c>
      <x:c r="H22" s="34" t="n">
        <x:v>0.1</x:v>
      </x:c>
      <x:c r="I22" s="32" t="n">
        <x:f>G22*H22</x:f>
        <x:v>575</x:v>
      </x:c>
      <x:c r="J22" s="36" t="n">
        <x:v>45875</x:v>
      </x:c>
      <x:c r="K22" s="36" t="n">
        <x:v>46605</x:v>
      </x:c>
      <x:c r="L22" s="36" t="n">
        <x:v>45875</x:v>
      </x:c>
      <x:c r="M22" s="36"/>
      <x:c r="N22" t="n">
        <x:v>0</x:v>
      </x:c>
      <x:c r="O22" t="str">
        <x:v>Atraso ocasional</x:v>
      </x:c>
      <x:c r="P22" t="n">
        <x:v>6</x:v>
      </x:c>
      <x:c r="Q22" t="n">
        <x:v>20</x:v>
      </x:c>
      <x:c r="R22" t="n">
        <x:v>1</x:v>
      </x:c>
      <x:c r="S22" s="32" t="n">
        <x:v>5400</x:v>
      </x:c>
      <x:c r="T22" s="34" t="n">
        <x:f>IF(S22=0,0,(G22-S22)/S22)</x:f>
        <x:v>0.06481481481481481</x:v>
      </x:c>
      <x:c r="U22" t="n">
        <x:v>3</x:v>
      </x:c>
      <x:c r="V22" t="n">
        <x:v>0</x:v>
      </x:c>
      <x:c r="W22" s="32" t="n">
        <x:f>IF(F22="Vago",G22,0)</x:f>
        <x:v>0</x:v>
      </x:c>
      <x:c r="X22" s="32" t="n">
        <x:f>I22*12</x:f>
        <x:v>6900</x:v>
      </x:c>
    </x:row>
    <x:row r="23">
      <x:c r="A23" t="str">
        <x:v>IMV-0022</x:v>
      </x:c>
      <x:c r="B23" t="str">
        <x:v>PROP-011</x:v>
      </x:c>
      <x:c r="C23" t="str">
        <x:v>Jundiaí</x:v>
      </x:c>
      <x:c r="D23" t="str">
        <x:v>Eloy Chaves</x:v>
      </x:c>
      <x:c r="E23" t="str">
        <x:v>Apartamento</x:v>
      </x:c>
      <x:c r="F23" t="str">
        <x:v>Ocupado</x:v>
      </x:c>
      <x:c r="G23" s="32" t="n">
        <x:v>6500</x:v>
      </x:c>
      <x:c r="H23" s="34" t="n">
        <x:v>0.12</x:v>
      </x:c>
      <x:c r="I23" s="32" t="n">
        <x:f>G23*H23</x:f>
        <x:v>780</x:v>
      </x:c>
      <x:c r="J23" s="36" t="n">
        <x:v>45701</x:v>
      </x:c>
      <x:c r="K23" s="36" t="n">
        <x:v>46796</x:v>
      </x:c>
      <x:c r="L23" s="36" t="n">
        <x:v>46066</x:v>
      </x:c>
      <x:c r="M23" s="36"/>
      <x:c r="N23" t="n">
        <x:v>0</x:v>
      </x:c>
      <x:c r="O23" t="str">
        <x:v>Em dia</x:v>
      </x:c>
      <x:c r="P23" t="n">
        <x:v>4</x:v>
      </x:c>
      <x:c r="Q23" t="n">
        <x:v>150</x:v>
      </x:c>
      <x:c r="R23" t="n">
        <x:v>3</x:v>
      </x:c>
      <x:c r="S23" s="32" t="n">
        <x:v>6800</x:v>
      </x:c>
      <x:c r="T23" s="34" t="n">
        <x:f>IF(S23=0,0,(G23-S23)/S23)</x:f>
        <x:v>-0.04411764705882353</x:v>
      </x:c>
      <x:c r="U23" t="n">
        <x:v>3</x:v>
      </x:c>
      <x:c r="V23" t="n">
        <x:v>0</x:v>
      </x:c>
      <x:c r="W23" s="32" t="n">
        <x:f>IF(F23="Vago",G23,0)</x:f>
        <x:v>0</x:v>
      </x:c>
      <x:c r="X23" s="32" t="n">
        <x:f>I23*12</x:f>
        <x:v>9360</x:v>
      </x:c>
    </x:row>
    <x:row r="24">
      <x:c r="A24" t="str">
        <x:v>IMV-0023</x:v>
      </x:c>
      <x:c r="B24" t="str">
        <x:v>PROP-005</x:v>
      </x:c>
      <x:c r="C24" t="str">
        <x:v>Valinhos</x:v>
      </x:c>
      <x:c r="D24" t="str">
        <x:v>Jardim Paiquerê</x:v>
      </x:c>
      <x:c r="E24" t="str">
        <x:v>Apartamento</x:v>
      </x:c>
      <x:c r="F24" t="str">
        <x:v>Ocupado</x:v>
      </x:c>
      <x:c r="G24" s="32" t="n">
        <x:v>1650</x:v>
      </x:c>
      <x:c r="H24" s="34" t="n">
        <x:v>0.1</x:v>
      </x:c>
      <x:c r="I24" s="32" t="n">
        <x:f>G24*H24</x:f>
        <x:v>165</x:v>
      </x:c>
      <x:c r="J24" s="36" t="n">
        <x:v>46084</x:v>
      </x:c>
      <x:c r="K24" s="36" t="n">
        <x:v>47179</x:v>
      </x:c>
      <x:c r="L24" s="36" t="n">
        <x:v>46084</x:v>
      </x:c>
      <x:c r="M24" s="36"/>
      <x:c r="N24" t="n">
        <x:v>0</x:v>
      </x:c>
      <x:c r="O24" t="str">
        <x:v>Atraso recorrente</x:v>
      </x:c>
      <x:c r="P24" t="n">
        <x:v>2</x:v>
      </x:c>
      <x:c r="Q24" t="n">
        <x:v>114</x:v>
      </x:c>
      <x:c r="R24" t="n">
        <x:v>5</x:v>
      </x:c>
      <x:c r="S24" s="32" t="n">
        <x:v>1300</x:v>
      </x:c>
      <x:c r="T24" s="34" t="n">
        <x:f>IF(S24=0,0,(G24-S24)/S24)</x:f>
        <x:v>0.2692307692307692</x:v>
      </x:c>
      <x:c r="U24" t="n">
        <x:v>2</x:v>
      </x:c>
      <x:c r="V24" t="n">
        <x:v>0</x:v>
      </x:c>
      <x:c r="W24" s="32" t="n">
        <x:f>IF(F24="Vago",G24,0)</x:f>
        <x:v>0</x:v>
      </x:c>
      <x:c r="X24" s="32" t="n">
        <x:f>I24*12</x:f>
        <x:v>1980</x:v>
      </x:c>
    </x:row>
    <x:row r="25">
      <x:c r="A25" t="str">
        <x:v>IMV-0024</x:v>
      </x:c>
      <x:c r="B25" t="str">
        <x:v>PROP-001</x:v>
      </x:c>
      <x:c r="C25" t="str">
        <x:v>Jundiaí</x:v>
      </x:c>
      <x:c r="D25" t="str">
        <x:v>Eloy Chaves</x:v>
      </x:c>
      <x:c r="E25" t="str">
        <x:v>Apartamento</x:v>
      </x:c>
      <x:c r="F25" t="str">
        <x:v>Ocupado</x:v>
      </x:c>
      <x:c r="G25" s="32" t="n">
        <x:v>1650</x:v>
      </x:c>
      <x:c r="H25" s="34" t="n">
        <x:v>0.11</x:v>
      </x:c>
      <x:c r="I25" s="32" t="n">
        <x:f>G25*H25</x:f>
        <x:v>181.5</x:v>
      </x:c>
      <x:c r="J25" s="36" t="n">
        <x:v>44816</x:v>
      </x:c>
      <x:c r="K25" s="36" t="n">
        <x:v>46468</x:v>
      </x:c>
      <x:c r="L25" s="36" t="n">
        <x:v>45546</x:v>
      </x:c>
      <x:c r="M25" s="36"/>
      <x:c r="N25" t="n">
        <x:v>0</x:v>
      </x:c>
      <x:c r="O25" t="str">
        <x:v>Em dia</x:v>
      </x:c>
      <x:c r="P25" t="n">
        <x:v>6</x:v>
      </x:c>
      <x:c r="Q25" t="n">
        <x:v>128</x:v>
      </x:c>
      <x:c r="R25" t="n">
        <x:v>1</x:v>
      </x:c>
      <x:c r="S25" s="32" t="n">
        <x:v>1950</x:v>
      </x:c>
      <x:c r="T25" s="34" t="n">
        <x:f>IF(S25=0,0,(G25-S25)/S25)</x:f>
        <x:v>-0.15384615384615385</x:v>
      </x:c>
      <x:c r="U25" t="n">
        <x:v>1</x:v>
      </x:c>
      <x:c r="V25" t="n">
        <x:v>0</x:v>
      </x:c>
      <x:c r="W25" s="32" t="n">
        <x:f>IF(F25="Vago",G25,0)</x:f>
        <x:v>0</x:v>
      </x:c>
      <x:c r="X25" s="32" t="n">
        <x:f>I25*12</x:f>
        <x:v>2178</x:v>
      </x:c>
    </x:row>
    <x:row r="26">
      <x:c r="A26" t="str">
        <x:v>IMV-0025</x:v>
      </x:c>
      <x:c r="B26" t="str">
        <x:v>PROP-008</x:v>
      </x:c>
      <x:c r="C26" t="str">
        <x:v>Jundiaí</x:v>
      </x:c>
      <x:c r="D26" t="str">
        <x:v>Anhangabaú</x:v>
      </x:c>
      <x:c r="E26" t="str">
        <x:v>Apartamento</x:v>
      </x:c>
      <x:c r="F26" t="str">
        <x:v>Ocupado</x:v>
      </x:c>
      <x:c r="G26" s="32" t="n">
        <x:v>4550</x:v>
      </x:c>
      <x:c r="H26" s="34" t="n">
        <x:v>0.08</x:v>
      </x:c>
      <x:c r="I26" s="32" t="n">
        <x:f>G26*H26</x:f>
        <x:v>364</x:v>
      </x:c>
      <x:c r="J26" s="36" t="n">
        <x:v>45222</x:v>
      </x:c>
      <x:c r="K26" s="36" t="n">
        <x:v>46317</x:v>
      </x:c>
      <x:c r="L26" s="36" t="n">
        <x:v>45952</x:v>
      </x:c>
      <x:c r="M26" s="36"/>
      <x:c r="N26" t="n">
        <x:v>0</x:v>
      </x:c>
      <x:c r="O26" t="str">
        <x:v>Em dia</x:v>
      </x:c>
      <x:c r="P26" t="n">
        <x:v>7</x:v>
      </x:c>
      <x:c r="Q26" t="n">
        <x:v>58</x:v>
      </x:c>
      <x:c r="R26" t="n">
        <x:v>3</x:v>
      </x:c>
      <x:c r="S26" s="32" t="n">
        <x:v>4350</x:v>
      </x:c>
      <x:c r="T26" s="34" t="n">
        <x:f>IF(S26=0,0,(G26-S26)/S26)</x:f>
        <x:v>0.04597701149425287</x:v>
      </x:c>
      <x:c r="U26" t="n">
        <x:v>2</x:v>
      </x:c>
      <x:c r="V26" t="n">
        <x:v>0</x:v>
      </x:c>
      <x:c r="W26" s="32" t="n">
        <x:f>IF(F26="Vago",G26,0)</x:f>
        <x:v>0</x:v>
      </x:c>
      <x:c r="X26" s="32" t="n">
        <x:f>I26*12</x:f>
        <x:v>4368</x:v>
      </x:c>
    </x:row>
    <x:row r="27">
      <x:c r="A27" t="str">
        <x:v>IMV-0026</x:v>
      </x:c>
      <x:c r="B27" t="str">
        <x:v>PROP-005</x:v>
      </x:c>
      <x:c r="C27" t="str">
        <x:v>Indaiatuba</x:v>
      </x:c>
      <x:c r="D27" t="str">
        <x:v>Cidade Nova</x:v>
      </x:c>
      <x:c r="E27" t="str">
        <x:v>Apartamento</x:v>
      </x:c>
      <x:c r="F27" t="str">
        <x:v>Ocupado</x:v>
      </x:c>
      <x:c r="G27" s="32" t="n">
        <x:v>1950</x:v>
      </x:c>
      <x:c r="H27" s="34" t="n">
        <x:v>0.1</x:v>
      </x:c>
      <x:c r="I27" s="32" t="n">
        <x:f>G27*H27</x:f>
        <x:v>195</x:v>
      </x:c>
      <x:c r="J27" s="36" t="n">
        <x:v>44986</x:v>
      </x:c>
      <x:c r="K27" s="36" t="n">
        <x:v>46288</x:v>
      </x:c>
      <x:c r="L27" s="36" t="n">
        <x:v>45716</x:v>
      </x:c>
      <x:c r="M27" s="36"/>
      <x:c r="N27" t="n">
        <x:v>0</x:v>
      </x:c>
      <x:c r="O27" t="str">
        <x:v>Atraso ocasional</x:v>
      </x:c>
      <x:c r="P27" t="n">
        <x:v>1</x:v>
      </x:c>
      <x:c r="Q27" t="n">
        <x:v>142</x:v>
      </x:c>
      <x:c r="R27" t="n">
        <x:v>5</x:v>
      </x:c>
      <x:c r="S27" s="32" t="n">
        <x:v>1900</x:v>
      </x:c>
      <x:c r="T27" s="34" t="n">
        <x:f>IF(S27=0,0,(G27-S27)/S27)</x:f>
        <x:v>0.02631578947368421</x:v>
      </x:c>
      <x:c r="U27" t="n">
        <x:v>3</x:v>
      </x:c>
      <x:c r="V27" t="n">
        <x:v>0</x:v>
      </x:c>
      <x:c r="W27" s="32" t="n">
        <x:f>IF(F27="Vago",G27,0)</x:f>
        <x:v>0</x:v>
      </x:c>
      <x:c r="X27" s="32" t="n">
        <x:f>I27*12</x:f>
        <x:v>2340</x:v>
      </x:c>
    </x:row>
    <x:row r="28">
      <x:c r="A28" t="str">
        <x:v>IMV-0027</x:v>
      </x:c>
      <x:c r="B28" t="str">
        <x:v>PROP-014</x:v>
      </x:c>
      <x:c r="C28" t="str">
        <x:v>Jundiaí</x:v>
      </x:c>
      <x:c r="D28" t="str">
        <x:v>Anhangabaú</x:v>
      </x:c>
      <x:c r="E28" t="str">
        <x:v>Casa</x:v>
      </x:c>
      <x:c r="F28" t="str">
        <x:v>Ocupado</x:v>
      </x:c>
      <x:c r="G28" s="32" t="n">
        <x:v>3050</x:v>
      </x:c>
      <x:c r="H28" s="34" t="n">
        <x:v>0.1</x:v>
      </x:c>
      <x:c r="I28" s="32" t="n">
        <x:f>G28*H28</x:f>
        <x:v>305</x:v>
      </x:c>
      <x:c r="J28" s="36" t="n">
        <x:v>45218</x:v>
      </x:c>
      <x:c r="K28" s="36" t="n">
        <x:v>46562</x:v>
      </x:c>
      <x:c r="L28" s="36" t="n">
        <x:v>45218</x:v>
      </x:c>
      <x:c r="M28" s="36"/>
      <x:c r="N28" t="n">
        <x:v>0</x:v>
      </x:c>
      <x:c r="O28" t="str">
        <x:v>Atraso recorrente</x:v>
      </x:c>
      <x:c r="P28" t="n">
        <x:v>7</x:v>
      </x:c>
      <x:c r="Q28" t="n">
        <x:v>118</x:v>
      </x:c>
      <x:c r="R28" t="n">
        <x:v>0</x:v>
      </x:c>
      <x:c r="S28" s="32" t="n">
        <x:v>2900</x:v>
      </x:c>
      <x:c r="T28" s="34" t="n">
        <x:f>IF(S28=0,0,(G28-S28)/S28)</x:f>
        <x:v>0.05172413793103448</x:v>
      </x:c>
      <x:c r="U28" t="n">
        <x:v>2</x:v>
      </x:c>
      <x:c r="V28" t="n">
        <x:v>0</x:v>
      </x:c>
      <x:c r="W28" s="32" t="n">
        <x:f>IF(F28="Vago",G28,0)</x:f>
        <x:v>0</x:v>
      </x:c>
      <x:c r="X28" s="32" t="n">
        <x:f>I28*12</x:f>
        <x:v>3660</x:v>
      </x:c>
    </x:row>
    <x:row r="29">
      <x:c r="A29" t="str">
        <x:v>IMV-0028</x:v>
      </x:c>
      <x:c r="B29" t="str">
        <x:v>PROP-001</x:v>
      </x:c>
      <x:c r="C29" t="str">
        <x:v>Valinhos</x:v>
      </x:c>
      <x:c r="D29" t="str">
        <x:v>Jardim Paiquerê</x:v>
      </x:c>
      <x:c r="E29" t="str">
        <x:v>Apartamento</x:v>
      </x:c>
      <x:c r="F29" t="str">
        <x:v>Vago</x:v>
      </x:c>
      <x:c r="G29" s="32" t="n">
        <x:v>1600</x:v>
      </x:c>
      <x:c r="H29" s="34" t="n">
        <x:v>0.11</x:v>
      </x:c>
      <x:c r="I29" s="32" t="n">
        <x:f>G29*H29</x:f>
        <x:v>176</x:v>
      </x:c>
      <x:c r="J29" s="36"/>
      <x:c r="K29" s="36"/>
      <x:c r="L29" s="36"/>
      <x:c r="M29" s="36" t="n">
        <x:v>46137</x:v>
      </x:c>
      <x:c r="N29" t="n">
        <x:v>100</x:v>
      </x:c>
      <x:c r="O29" t="str">
        <x:v>Sem inquilino</x:v>
      </x:c>
      <x:c r="P29" t="n">
        <x:v>3</x:v>
      </x:c>
      <x:c r="Q29" t="n">
        <x:v>55</x:v>
      </x:c>
      <x:c r="R29" t="n">
        <x:v>1</x:v>
      </x:c>
      <x:c r="S29" s="32" t="n">
        <x:v>1700</x:v>
      </x:c>
      <x:c r="T29" s="34" t="n">
        <x:f>IF(S29=0,0,(G29-S29)/S29)</x:f>
        <x:v>-0.058823529411764705</x:v>
      </x:c>
      <x:c r="U29" t="n">
        <x:v>16</x:v>
      </x:c>
      <x:c r="V29" t="n">
        <x:v>1</x:v>
      </x:c>
      <x:c r="W29" s="32" t="n">
        <x:f>IF(F29="Vago",G29,0)</x:f>
        <x:v>1600</x:v>
      </x:c>
      <x:c r="X29" s="32" t="n">
        <x:f>I29*12</x:f>
        <x:v>2112</x:v>
      </x:c>
    </x:row>
    <x:row r="30">
      <x:c r="A30" t="str">
        <x:v>IMV-0029</x:v>
      </x:c>
      <x:c r="B30" t="str">
        <x:v>PROP-015</x:v>
      </x:c>
      <x:c r="C30" t="str">
        <x:v>Jundiaí</x:v>
      </x:c>
      <x:c r="D30" t="str">
        <x:v>Eloy Chaves</x:v>
      </x:c>
      <x:c r="E30" t="str">
        <x:v>Apartamento</x:v>
      </x:c>
      <x:c r="F30" t="str">
        <x:v>Ocupado</x:v>
      </x:c>
      <x:c r="G30" s="32" t="n">
        <x:v>5600</x:v>
      </x:c>
      <x:c r="H30" s="34" t="n">
        <x:v>0.12</x:v>
      </x:c>
      <x:c r="I30" s="32" t="n">
        <x:f>G30*H30</x:f>
        <x:v>672</x:v>
      </x:c>
      <x:c r="J30" s="36" t="n">
        <x:v>45653</x:v>
      </x:c>
      <x:c r="K30" s="36" t="n">
        <x:v>46748</x:v>
      </x:c>
      <x:c r="L30" s="36" t="n">
        <x:v>46018</x:v>
      </x:c>
      <x:c r="M30" s="36"/>
      <x:c r="N30" t="n">
        <x:v>0</x:v>
      </x:c>
      <x:c r="O30" t="str">
        <x:v>Em dia</x:v>
      </x:c>
      <x:c r="P30" t="n">
        <x:v>4</x:v>
      </x:c>
      <x:c r="Q30" t="n">
        <x:v>132</x:v>
      </x:c>
      <x:c r="R30" t="n">
        <x:v>1</x:v>
      </x:c>
      <x:c r="S30" s="32" t="n">
        <x:v>6600</x:v>
      </x:c>
      <x:c r="T30" s="34" t="n">
        <x:f>IF(S30=0,0,(G30-S30)/S30)</x:f>
        <x:v>-0.15151515151515152</x:v>
      </x:c>
      <x:c r="U30" t="n">
        <x:v>1</x:v>
      </x:c>
      <x:c r="V30" t="n">
        <x:v>0</x:v>
      </x:c>
      <x:c r="W30" s="32" t="n">
        <x:f>IF(F30="Vago",G30,0)</x:f>
        <x:v>0</x:v>
      </x:c>
      <x:c r="X30" s="32" t="n">
        <x:f>I30*12</x:f>
        <x:v>8064</x:v>
      </x:c>
    </x:row>
    <x:row r="31">
      <x:c r="A31" t="str">
        <x:v>IMV-0030</x:v>
      </x:c>
      <x:c r="B31" t="str">
        <x:v>PROP-001</x:v>
      </x:c>
      <x:c r="C31" t="str">
        <x:v>Campinas</x:v>
      </x:c>
      <x:c r="D31" t="str">
        <x:v>Taquaral</x:v>
      </x:c>
      <x:c r="E31" t="str">
        <x:v>Galpão</x:v>
      </x:c>
      <x:c r="F31" t="str">
        <x:v>Ocupado</x:v>
      </x:c>
      <x:c r="G31" s="32" t="n">
        <x:v>3800</x:v>
      </x:c>
      <x:c r="H31" s="34" t="n">
        <x:v>0.11</x:v>
      </x:c>
      <x:c r="I31" s="32" t="n">
        <x:f>G31*H31</x:f>
        <x:v>418</x:v>
      </x:c>
      <x:c r="J31" s="36" t="n">
        <x:v>45447</x:v>
      </x:c>
      <x:c r="K31" s="36" t="n">
        <x:v>46542</x:v>
      </x:c>
      <x:c r="L31" s="36" t="n">
        <x:v>45812</x:v>
      </x:c>
      <x:c r="M31" s="36"/>
      <x:c r="N31" t="n">
        <x:v>0</x:v>
      </x:c>
      <x:c r="O31" t="str">
        <x:v>Atraso ocasional</x:v>
      </x:c>
      <x:c r="P31" t="n">
        <x:v>0</x:v>
      </x:c>
      <x:c r="Q31" t="n">
        <x:v>145</x:v>
      </x:c>
      <x:c r="R31" t="n">
        <x:v>1</x:v>
      </x:c>
      <x:c r="S31" s="32" t="n">
        <x:v>3400</x:v>
      </x:c>
      <x:c r="T31" s="34" t="n">
        <x:f>IF(S31=0,0,(G31-S31)/S31)</x:f>
        <x:v>0.11764705882352941</x:v>
      </x:c>
      <x:c r="U31" t="n">
        <x:v>3</x:v>
      </x:c>
      <x:c r="V31" t="n">
        <x:v>0</x:v>
      </x:c>
      <x:c r="W31" s="32" t="n">
        <x:f>IF(F31="Vago",G31,0)</x:f>
        <x:v>0</x:v>
      </x:c>
      <x:c r="X31" s="32" t="n">
        <x:f>I31*12</x:f>
        <x:v>5016</x:v>
      </x:c>
    </x:row>
    <x:row r="32">
      <x:c r="A32" t="str">
        <x:v>IMV-0031</x:v>
      </x:c>
      <x:c r="B32" t="str">
        <x:v>PROP-015</x:v>
      </x:c>
      <x:c r="C32" t="str">
        <x:v>Valinhos</x:v>
      </x:c>
      <x:c r="D32" t="str">
        <x:v>Jardim Paiquerê</x:v>
      </x:c>
      <x:c r="E32" t="str">
        <x:v>Apartamento</x:v>
      </x:c>
      <x:c r="F32" t="str">
        <x:v>Ocupado</x:v>
      </x:c>
      <x:c r="G32" s="32" t="n">
        <x:v>6250</x:v>
      </x:c>
      <x:c r="H32" s="34" t="n">
        <x:v>0.1</x:v>
      </x:c>
      <x:c r="I32" s="32" t="n">
        <x:f>G32*H32</x:f>
        <x:v>625</x:v>
      </x:c>
      <x:c r="J32" s="36" t="n">
        <x:v>44956</x:v>
      </x:c>
      <x:c r="K32" s="36" t="n">
        <x:v>46355</x:v>
      </x:c>
      <x:c r="L32" s="36" t="n">
        <x:v>45321</x:v>
      </x:c>
      <x:c r="M32" s="36"/>
      <x:c r="N32" t="n">
        <x:v>0</x:v>
      </x:c>
      <x:c r="O32" t="str">
        <x:v>Atraso ocasional</x:v>
      </x:c>
      <x:c r="P32" t="n">
        <x:v>6</x:v>
      </x:c>
      <x:c r="Q32" t="n">
        <x:v>56</x:v>
      </x:c>
      <x:c r="R32" t="n">
        <x:v>1</x:v>
      </x:c>
      <x:c r="S32" s="32" t="n">
        <x:v>5100</x:v>
      </x:c>
      <x:c r="T32" s="34" t="n">
        <x:f>IF(S32=0,0,(G32-S32)/S32)</x:f>
        <x:v>0.22549019607843138</x:v>
      </x:c>
      <x:c r="U32" t="n">
        <x:v>1</x:v>
      </x:c>
      <x:c r="V32" t="n">
        <x:v>0</x:v>
      </x:c>
      <x:c r="W32" s="32" t="n">
        <x:f>IF(F32="Vago",G32,0)</x:f>
        <x:v>0</x:v>
      </x:c>
      <x:c r="X32" s="32" t="n">
        <x:f>I32*12</x:f>
        <x:v>7500</x:v>
      </x:c>
    </x:row>
    <x:row r="33">
      <x:c r="A33" t="str">
        <x:v>IMV-0032</x:v>
      </x:c>
      <x:c r="B33" t="str">
        <x:v>PROP-014</x:v>
      </x:c>
      <x:c r="C33" t="str">
        <x:v>Indaiatuba</x:v>
      </x:c>
      <x:c r="D33" t="str">
        <x:v>Jardim Pau Preto</x:v>
      </x:c>
      <x:c r="E33" t="str">
        <x:v>Apartamento</x:v>
      </x:c>
      <x:c r="F33" t="str">
        <x:v>Vago</x:v>
      </x:c>
      <x:c r="G33" s="32" t="n">
        <x:v>1200</x:v>
      </x:c>
      <x:c r="H33" s="34" t="n">
        <x:v>0.09</x:v>
      </x:c>
      <x:c r="I33" s="32" t="n">
        <x:f>G33*H33</x:f>
        <x:v>108</x:v>
      </x:c>
      <x:c r="J33" s="36"/>
      <x:c r="K33" s="36"/>
      <x:c r="L33" s="36"/>
      <x:c r="M33" s="36" t="n">
        <x:v>46116</x:v>
      </x:c>
      <x:c r="N33" t="n">
        <x:v>121</x:v>
      </x:c>
      <x:c r="O33" t="str">
        <x:v>Sem inquilino</x:v>
      </x:c>
      <x:c r="P33" t="n">
        <x:v>1</x:v>
      </x:c>
      <x:c r="Q33" t="n">
        <x:v>95</x:v>
      </x:c>
      <x:c r="R33" t="n">
        <x:v>0</x:v>
      </x:c>
      <x:c r="S33" s="32" t="n">
        <x:v>1150</x:v>
      </x:c>
      <x:c r="T33" s="34" t="n">
        <x:f>IF(S33=0,0,(G33-S33)/S33)</x:f>
        <x:v>0.043478260869565216</x:v>
      </x:c>
      <x:c r="U33" t="n">
        <x:v>10</x:v>
      </x:c>
      <x:c r="V33" t="n">
        <x:v>1</x:v>
      </x:c>
      <x:c r="W33" s="32" t="n">
        <x:f>IF(F33="Vago",G33,0)</x:f>
        <x:v>1200</x:v>
      </x:c>
      <x:c r="X33" s="32" t="n">
        <x:f>I33*12</x:f>
        <x:v>1296</x:v>
      </x:c>
    </x:row>
    <x:row r="34">
      <x:c r="A34" t="str">
        <x:v>IMV-0033</x:v>
      </x:c>
      <x:c r="B34" t="str">
        <x:v>PROP-006</x:v>
      </x:c>
      <x:c r="C34" t="str">
        <x:v>Sorocaba</x:v>
      </x:c>
      <x:c r="D34" t="str">
        <x:v>Éden</x:v>
      </x:c>
      <x:c r="E34" t="str">
        <x:v>Apartamento</x:v>
      </x:c>
      <x:c r="F34" t="str">
        <x:v>Ocupado</x:v>
      </x:c>
      <x:c r="G34" s="32" t="n">
        <x:v>2550</x:v>
      </x:c>
      <x:c r="H34" s="34" t="n">
        <x:v>0.1</x:v>
      </x:c>
      <x:c r="I34" s="32" t="n">
        <x:f>G34*H34</x:f>
        <x:v>255</x:v>
      </x:c>
      <x:c r="J34" s="36" t="n">
        <x:v>45813</x:v>
      </x:c>
      <x:c r="K34" s="36" t="n">
        <x:v>46908</x:v>
      </x:c>
      <x:c r="L34" s="36" t="n">
        <x:v>46178</x:v>
      </x:c>
      <x:c r="M34" s="36"/>
      <x:c r="N34" t="n">
        <x:v>0</x:v>
      </x:c>
      <x:c r="O34" t="str">
        <x:v>Em dia</x:v>
      </x:c>
      <x:c r="P34" t="n">
        <x:v>1</x:v>
      </x:c>
      <x:c r="Q34" t="n">
        <x:v>124</x:v>
      </x:c>
      <x:c r="R34" t="n">
        <x:v>3</x:v>
      </x:c>
      <x:c r="S34" s="32" t="n">
        <x:v>2050</x:v>
      </x:c>
      <x:c r="T34" s="34" t="n">
        <x:f>IF(S34=0,0,(G34-S34)/S34)</x:f>
        <x:v>0.24390243902439024</x:v>
      </x:c>
      <x:c r="U34" t="n">
        <x:v>1</x:v>
      </x:c>
      <x:c r="V34" t="n">
        <x:v>0</x:v>
      </x:c>
      <x:c r="W34" s="32" t="n">
        <x:f>IF(F34="Vago",G34,0)</x:f>
        <x:v>0</x:v>
      </x:c>
      <x:c r="X34" s="32" t="n">
        <x:f>I34*12</x:f>
        <x:v>3060</x:v>
      </x:c>
    </x:row>
    <x:row r="35">
      <x:c r="A35" t="str">
        <x:v>IMV-0034</x:v>
      </x:c>
      <x:c r="B35" t="str">
        <x:v>PROP-008</x:v>
      </x:c>
      <x:c r="C35" t="str">
        <x:v>Jundiaí</x:v>
      </x:c>
      <x:c r="D35" t="str">
        <x:v>Medeiros</x:v>
      </x:c>
      <x:c r="E35" t="str">
        <x:v>Casa</x:v>
      </x:c>
      <x:c r="F35" t="str">
        <x:v>Ocupado</x:v>
      </x:c>
      <x:c r="G35" s="32" t="n">
        <x:v>5000</x:v>
      </x:c>
      <x:c r="H35" s="34" t="n">
        <x:v>0.08</x:v>
      </x:c>
      <x:c r="I35" s="32" t="n">
        <x:f>G35*H35</x:f>
        <x:v>400</x:v>
      </x:c>
      <x:c r="J35" s="36" t="n">
        <x:v>44913</x:v>
      </x:c>
      <x:c r="K35" s="36" t="n">
        <x:v>46689</x:v>
      </x:c>
      <x:c r="L35" s="36" t="n">
        <x:v>45278</x:v>
      </x:c>
      <x:c r="M35" s="36"/>
      <x:c r="N35" t="n">
        <x:v>0</x:v>
      </x:c>
      <x:c r="O35" t="str">
        <x:v>Atraso ocasional</x:v>
      </x:c>
      <x:c r="P35" t="n">
        <x:v>3</x:v>
      </x:c>
      <x:c r="Q35" t="n">
        <x:v>138</x:v>
      </x:c>
      <x:c r="R35" t="n">
        <x:v>3</x:v>
      </x:c>
      <x:c r="S35" s="32" t="n">
        <x:v>4250</x:v>
      </x:c>
      <x:c r="T35" s="34" t="n">
        <x:f>IF(S35=0,0,(G35-S35)/S35)</x:f>
        <x:v>0.17647058823529413</x:v>
      </x:c>
      <x:c r="U35" t="n">
        <x:v>2</x:v>
      </x:c>
      <x:c r="V35" t="n">
        <x:v>0</x:v>
      </x:c>
      <x:c r="W35" s="32" t="n">
        <x:f>IF(F35="Vago",G35,0)</x:f>
        <x:v>0</x:v>
      </x:c>
      <x:c r="X35" s="32" t="n">
        <x:f>I35*12</x:f>
        <x:v>4800</x:v>
      </x:c>
    </x:row>
    <x:row r="36">
      <x:c r="A36" t="str">
        <x:v>IMV-0035</x:v>
      </x:c>
      <x:c r="B36" t="str">
        <x:v>PROP-009</x:v>
      </x:c>
      <x:c r="C36" t="str">
        <x:v>Sorocaba</x:v>
      </x:c>
      <x:c r="D36" t="str">
        <x:v>Éden</x:v>
      </x:c>
      <x:c r="E36" t="str">
        <x:v>Casa</x:v>
      </x:c>
      <x:c r="F36" t="str">
        <x:v>Ocupado</x:v>
      </x:c>
      <x:c r="G36" s="32" t="n">
        <x:v>3800</x:v>
      </x:c>
      <x:c r="H36" s="34" t="n">
        <x:v>0.09</x:v>
      </x:c>
      <x:c r="I36" s="32" t="n">
        <x:f>G36*H36</x:f>
        <x:v>342</x:v>
      </x:c>
      <x:c r="J36" s="36" t="n">
        <x:v>45852</x:v>
      </x:c>
      <x:c r="K36" s="36" t="n">
        <x:v>46947</x:v>
      </x:c>
      <x:c r="L36" s="36" t="n">
        <x:v>46217</x:v>
      </x:c>
      <x:c r="M36" s="36"/>
      <x:c r="N36" t="n">
        <x:v>0</x:v>
      </x:c>
      <x:c r="O36" t="str">
        <x:v>Em dia</x:v>
      </x:c>
      <x:c r="P36" t="n">
        <x:v>7</x:v>
      </x:c>
      <x:c r="Q36" t="n">
        <x:v>137</x:v>
      </x:c>
      <x:c r="R36" t="n">
        <x:v>1</x:v>
      </x:c>
      <x:c r="S36" s="32" t="n">
        <x:v>3900</x:v>
      </x:c>
      <x:c r="T36" s="34" t="n">
        <x:f>IF(S36=0,0,(G36-S36)/S36)</x:f>
        <x:v>-0.02564102564102564</x:v>
      </x:c>
      <x:c r="U36" t="n">
        <x:v>3</x:v>
      </x:c>
      <x:c r="V36" t="n">
        <x:v>0</x:v>
      </x:c>
      <x:c r="W36" s="32" t="n">
        <x:f>IF(F36="Vago",G36,0)</x:f>
        <x:v>0</x:v>
      </x:c>
      <x:c r="X36" s="32" t="n">
        <x:f>I36*12</x:f>
        <x:v>4104</x:v>
      </x:c>
    </x:row>
    <x:row r="37">
      <x:c r="A37" t="str">
        <x:v>IMV-0036</x:v>
      </x:c>
      <x:c r="B37" t="str">
        <x:v>PROP-004</x:v>
      </x:c>
      <x:c r="C37" t="str">
        <x:v>Indaiatuba</x:v>
      </x:c>
      <x:c r="D37" t="str">
        <x:v>Jardim Pau Preto</x:v>
      </x:c>
      <x:c r="E37" t="str">
        <x:v>Apartamento</x:v>
      </x:c>
      <x:c r="F37" t="str">
        <x:v>Ocupado</x:v>
      </x:c>
      <x:c r="G37" s="32" t="n">
        <x:v>2650</x:v>
      </x:c>
      <x:c r="H37" s="34" t="n">
        <x:v>0.1</x:v>
      </x:c>
      <x:c r="I37" s="32" t="n">
        <x:f>G37*H37</x:f>
        <x:v>265</x:v>
      </x:c>
      <x:c r="J37" s="36" t="n">
        <x:v>45837</x:v>
      </x:c>
      <x:c r="K37" s="36" t="n">
        <x:v>46567</x:v>
      </x:c>
      <x:c r="L37" s="36" t="n">
        <x:v>46202</x:v>
      </x:c>
      <x:c r="M37" s="36"/>
      <x:c r="N37" t="n">
        <x:v>0</x:v>
      </x:c>
      <x:c r="O37" t="str">
        <x:v>Em dia</x:v>
      </x:c>
      <x:c r="P37" t="n">
        <x:v>4</x:v>
      </x:c>
      <x:c r="Q37" t="n">
        <x:v>156</x:v>
      </x:c>
      <x:c r="R37" t="n">
        <x:v>6</x:v>
      </x:c>
      <x:c r="S37" s="32" t="n">
        <x:v>2250</x:v>
      </x:c>
      <x:c r="T37" s="34" t="n">
        <x:f>IF(S37=0,0,(G37-S37)/S37)</x:f>
        <x:v>0.17777777777777778</x:v>
      </x:c>
      <x:c r="U37" t="n">
        <x:v>3</x:v>
      </x:c>
      <x:c r="V37" t="n">
        <x:v>0</x:v>
      </x:c>
      <x:c r="W37" s="32" t="n">
        <x:f>IF(F37="Vago",G37,0)</x:f>
        <x:v>0</x:v>
      </x:c>
      <x:c r="X37" s="32" t="n">
        <x:f>I37*12</x:f>
        <x:v>3180</x:v>
      </x:c>
    </x:row>
    <x:row r="38">
      <x:c r="A38" t="str">
        <x:v>IMV-0037</x:v>
      </x:c>
      <x:c r="B38" t="str">
        <x:v>PROP-002</x:v>
      </x:c>
      <x:c r="C38" t="str">
        <x:v>Jundiaí</x:v>
      </x:c>
      <x:c r="D38" t="str">
        <x:v>Medeiros</x:v>
      </x:c>
      <x:c r="E38" t="str">
        <x:v>Apartamento</x:v>
      </x:c>
      <x:c r="F38" t="str">
        <x:v>Ocupado</x:v>
      </x:c>
      <x:c r="G38" s="32" t="n">
        <x:v>1800</x:v>
      </x:c>
      <x:c r="H38" s="34" t="n">
        <x:v>0.11</x:v>
      </x:c>
      <x:c r="I38" s="32" t="n">
        <x:f>G38*H38</x:f>
        <x:v>198</x:v>
      </x:c>
      <x:c r="J38" s="36" t="n">
        <x:v>45009</x:v>
      </x:c>
      <x:c r="K38" s="36" t="n">
        <x:v>46594</x:v>
      </x:c>
      <x:c r="L38" s="36" t="n">
        <x:v>45739</x:v>
      </x:c>
      <x:c r="M38" s="36"/>
      <x:c r="N38" t="n">
        <x:v>0</x:v>
      </x:c>
      <x:c r="O38" t="str">
        <x:v>Em dia</x:v>
      </x:c>
      <x:c r="P38" t="n">
        <x:v>2</x:v>
      </x:c>
      <x:c r="Q38" t="n">
        <x:v>30</x:v>
      </x:c>
      <x:c r="R38" t="n">
        <x:v>1</x:v>
      </x:c>
      <x:c r="S38" s="32" t="n">
        <x:v>1800</x:v>
      </x:c>
      <x:c r="T38" s="34" t="n">
        <x:f>IF(S38=0,0,(G38-S38)/S38)</x:f>
        <x:v>0</x:v>
      </x:c>
      <x:c r="U38" t="n">
        <x:v>2</x:v>
      </x:c>
      <x:c r="V38" t="n">
        <x:v>0</x:v>
      </x:c>
      <x:c r="W38" s="32" t="n">
        <x:f>IF(F38="Vago",G38,0)</x:f>
        <x:v>0</x:v>
      </x:c>
      <x:c r="X38" s="32" t="n">
        <x:f>I38*12</x:f>
        <x:v>2376</x:v>
      </x:c>
    </x:row>
    <x:row r="39">
      <x:c r="A39" t="str">
        <x:v>IMV-0038</x:v>
      </x:c>
      <x:c r="B39" t="str">
        <x:v>PROP-003</x:v>
      </x:c>
      <x:c r="C39" t="str">
        <x:v>Valinhos</x:v>
      </x:c>
      <x:c r="D39" t="str">
        <x:v>Centro</x:v>
      </x:c>
      <x:c r="E39" t="str">
        <x:v>Casa</x:v>
      </x:c>
      <x:c r="F39" t="str">
        <x:v>Ocupado</x:v>
      </x:c>
      <x:c r="G39" s="32" t="n">
        <x:v>1750</x:v>
      </x:c>
      <x:c r="H39" s="34" t="n">
        <x:v>0.08</x:v>
      </x:c>
      <x:c r="I39" s="32" t="n">
        <x:f>G39*H39</x:f>
        <x:v>140</x:v>
      </x:c>
      <x:c r="J39" s="36" t="n">
        <x:v>45251</x:v>
      </x:c>
      <x:c r="K39" s="36" t="n">
        <x:v>46373</x:v>
      </x:c>
      <x:c r="L39" s="36" t="n">
        <x:v>45981</x:v>
      </x:c>
      <x:c r="M39" s="36"/>
      <x:c r="N39" t="n">
        <x:v>0</x:v>
      </x:c>
      <x:c r="O39" t="str">
        <x:v>Em dia</x:v>
      </x:c>
      <x:c r="P39" t="n">
        <x:v>3</x:v>
      </x:c>
      <x:c r="Q39" t="n">
        <x:v>62</x:v>
      </x:c>
      <x:c r="R39" t="n">
        <x:v>4</x:v>
      </x:c>
      <x:c r="S39" s="32" t="n">
        <x:v>1500</x:v>
      </x:c>
      <x:c r="T39" s="34" t="n">
        <x:f>IF(S39=0,0,(G39-S39)/S39)</x:f>
        <x:v>0.16666666666666666</x:v>
      </x:c>
      <x:c r="U39" t="n">
        <x:v>0</x:v>
      </x:c>
      <x:c r="V39" t="n">
        <x:v>0</x:v>
      </x:c>
      <x:c r="W39" s="32" t="n">
        <x:f>IF(F39="Vago",G39,0)</x:f>
        <x:v>0</x:v>
      </x:c>
      <x:c r="X39" s="32" t="n">
        <x:f>I39*12</x:f>
        <x:v>1680</x:v>
      </x:c>
    </x:row>
    <x:row r="40">
      <x:c r="A40" t="str">
        <x:v>IMV-0039</x:v>
      </x:c>
      <x:c r="B40" t="str">
        <x:v>PROP-005</x:v>
      </x:c>
      <x:c r="C40" t="str">
        <x:v>Sorocaba</x:v>
      </x:c>
      <x:c r="D40" t="str">
        <x:v>Campolim</x:v>
      </x:c>
      <x:c r="E40" t="str">
        <x:v>Apartamento</x:v>
      </x:c>
      <x:c r="F40" t="str">
        <x:v>Vago</x:v>
      </x:c>
      <x:c r="G40" s="32" t="n">
        <x:v>5000</x:v>
      </x:c>
      <x:c r="H40" s="34" t="n">
        <x:v>0.11</x:v>
      </x:c>
      <x:c r="I40" s="32" t="n">
        <x:f>G40*H40</x:f>
        <x:v>550</x:v>
      </x:c>
      <x:c r="J40" s="36"/>
      <x:c r="K40" s="36"/>
      <x:c r="L40" s="36"/>
      <x:c r="M40" s="36" t="n">
        <x:v>46014</x:v>
      </x:c>
      <x:c r="N40" t="n">
        <x:v>223</x:v>
      </x:c>
      <x:c r="O40" t="str">
        <x:v>Sem inquilino</x:v>
      </x:c>
      <x:c r="P40" t="n">
        <x:v>3</x:v>
      </x:c>
      <x:c r="Q40" t="n">
        <x:v>21</x:v>
      </x:c>
      <x:c r="R40" t="n">
        <x:v>5</x:v>
      </x:c>
      <x:c r="S40" s="32" t="n">
        <x:v>4050</x:v>
      </x:c>
      <x:c r="T40" s="34" t="n">
        <x:f>IF(S40=0,0,(G40-S40)/S40)</x:f>
        <x:v>0.2345679012345679</x:v>
      </x:c>
      <x:c r="U40" t="n">
        <x:v>13</x:v>
      </x:c>
      <x:c r="V40" t="n">
        <x:v>3</x:v>
      </x:c>
      <x:c r="W40" s="32" t="n">
        <x:f>IF(F40="Vago",G40,0)</x:f>
        <x:v>5000</x:v>
      </x:c>
      <x:c r="X40" s="32" t="n">
        <x:f>I40*12</x:f>
        <x:v>6600</x:v>
      </x:c>
    </x:row>
    <x:row r="41">
      <x:c r="A41" t="str">
        <x:v>IMV-0040</x:v>
      </x:c>
      <x:c r="B41" t="str">
        <x:v>PROP-008</x:v>
      </x:c>
      <x:c r="C41" t="str">
        <x:v>Valinhos</x:v>
      </x:c>
      <x:c r="D41" t="str">
        <x:v>Centro</x:v>
      </x:c>
      <x:c r="E41" t="str">
        <x:v>Casa</x:v>
      </x:c>
      <x:c r="F41" t="str">
        <x:v>Ocupado</x:v>
      </x:c>
      <x:c r="G41" s="32" t="n">
        <x:v>2400</x:v>
      </x:c>
      <x:c r="H41" s="34" t="n">
        <x:v>0.11</x:v>
      </x:c>
      <x:c r="I41" s="32" t="n">
        <x:f>G41*H41</x:f>
        <x:v>264</x:v>
      </x:c>
      <x:c r="J41" s="36" t="n">
        <x:v>44945</x:v>
      </x:c>
      <x:c r="K41" s="36" t="n">
        <x:v>46325</x:v>
      </x:c>
      <x:c r="L41" s="36" t="n">
        <x:v>45310</x:v>
      </x:c>
      <x:c r="M41" s="36"/>
      <x:c r="N41" t="n">
        <x:v>0</x:v>
      </x:c>
      <x:c r="O41" t="str">
        <x:v>Atraso recorrente</x:v>
      </x:c>
      <x:c r="P41" t="n">
        <x:v>6</x:v>
      </x:c>
      <x:c r="Q41" t="n">
        <x:v>131</x:v>
      </x:c>
      <x:c r="R41" t="n">
        <x:v>3</x:v>
      </x:c>
      <x:c r="S41" s="32" t="n">
        <x:v>2200</x:v>
      </x:c>
      <x:c r="T41" s="34" t="n">
        <x:f>IF(S41=0,0,(G41-S41)/S41)</x:f>
        <x:v>0.09090909090909091</x:v>
      </x:c>
      <x:c r="U41" t="n">
        <x:v>1</x:v>
      </x:c>
      <x:c r="V41" t="n">
        <x:v>0</x:v>
      </x:c>
      <x:c r="W41" s="32" t="n">
        <x:f>IF(F41="Vago",G41,0)</x:f>
        <x:v>0</x:v>
      </x:c>
      <x:c r="X41" s="32" t="n">
        <x:f>I41*12</x:f>
        <x:v>3168</x:v>
      </x:c>
    </x:row>
    <x:row r="42">
      <x:c r="A42" t="str">
        <x:v>IMV-0041</x:v>
      </x:c>
      <x:c r="B42" t="str">
        <x:v>PROP-002</x:v>
      </x:c>
      <x:c r="C42" t="str">
        <x:v>Jundiaí</x:v>
      </x:c>
      <x:c r="D42" t="str">
        <x:v>Vila Arens</x:v>
      </x:c>
      <x:c r="E42" t="str">
        <x:v>Sala Comercial</x:v>
      </x:c>
      <x:c r="F42" t="str">
        <x:v>Ocupado</x:v>
      </x:c>
      <x:c r="G42" s="32" t="n">
        <x:v>2700</x:v>
      </x:c>
      <x:c r="H42" s="34" t="n">
        <x:v>0.1</x:v>
      </x:c>
      <x:c r="I42" s="32" t="n">
        <x:f>G42*H42</x:f>
        <x:v>270</x:v>
      </x:c>
      <x:c r="J42" s="36" t="n">
        <x:v>45668</x:v>
      </x:c>
      <x:c r="K42" s="36" t="n">
        <x:v>46398</x:v>
      </x:c>
      <x:c r="L42" s="36" t="n">
        <x:v>45668</x:v>
      </x:c>
      <x:c r="M42" s="36"/>
      <x:c r="N42" t="n">
        <x:v>0</x:v>
      </x:c>
      <x:c r="O42" t="str">
        <x:v>Em dia</x:v>
      </x:c>
      <x:c r="P42" t="n">
        <x:v>0</x:v>
      </x:c>
      <x:c r="Q42" t="n">
        <x:v>115</x:v>
      </x:c>
      <x:c r="R42" t="n">
        <x:v>1</x:v>
      </x:c>
      <x:c r="S42" s="32" t="n">
        <x:v>2500</x:v>
      </x:c>
      <x:c r="T42" s="34" t="n">
        <x:f>IF(S42=0,0,(G42-S42)/S42)</x:f>
        <x:v>0.08</x:v>
      </x:c>
      <x:c r="U42" t="n">
        <x:v>3</x:v>
      </x:c>
      <x:c r="V42" t="n">
        <x:v>0</x:v>
      </x:c>
      <x:c r="W42" s="32" t="n">
        <x:f>IF(F42="Vago",G42,0)</x:f>
        <x:v>0</x:v>
      </x:c>
      <x:c r="X42" s="32" t="n">
        <x:f>I42*12</x:f>
        <x:v>3240</x:v>
      </x:c>
    </x:row>
    <x:row r="43">
      <x:c r="A43" t="str">
        <x:v>IMV-0042</x:v>
      </x:c>
      <x:c r="B43" t="str">
        <x:v>PROP-001</x:v>
      </x:c>
      <x:c r="C43" t="str">
        <x:v>Jundiaí</x:v>
      </x:c>
      <x:c r="D43" t="str">
        <x:v>Anhangabaú</x:v>
      </x:c>
      <x:c r="E43" t="str">
        <x:v>Apartamento</x:v>
      </x:c>
      <x:c r="F43" t="str">
        <x:v>Vago</x:v>
      </x:c>
      <x:c r="G43" s="32" t="n">
        <x:v>3800</x:v>
      </x:c>
      <x:c r="H43" s="34" t="n">
        <x:v>0.09</x:v>
      </x:c>
      <x:c r="I43" s="32" t="n">
        <x:f>G43*H43</x:f>
        <x:v>342</x:v>
      </x:c>
      <x:c r="J43" s="36"/>
      <x:c r="K43" s="36"/>
      <x:c r="L43" s="36"/>
      <x:c r="M43" s="36" t="n">
        <x:v>46139</x:v>
      </x:c>
      <x:c r="N43" t="n">
        <x:v>98</x:v>
      </x:c>
      <x:c r="O43" t="str">
        <x:v>Sem inquilino</x:v>
      </x:c>
      <x:c r="P43" t="n">
        <x:v>2</x:v>
      </x:c>
      <x:c r="Q43" t="n">
        <x:v>168</x:v>
      </x:c>
      <x:c r="R43" t="n">
        <x:v>1</x:v>
      </x:c>
      <x:c r="S43" s="32" t="n">
        <x:v>3200</x:v>
      </x:c>
      <x:c r="T43" s="34" t="n">
        <x:f>IF(S43=0,0,(G43-S43)/S43)</x:f>
        <x:v>0.1875</x:v>
      </x:c>
      <x:c r="U43" t="n">
        <x:v>3</x:v>
      </x:c>
      <x:c r="V43" t="n">
        <x:v>2</x:v>
      </x:c>
      <x:c r="W43" s="32" t="n">
        <x:f>IF(F43="Vago",G43,0)</x:f>
        <x:v>3800</x:v>
      </x:c>
      <x:c r="X43" s="32" t="n">
        <x:f>I43*12</x:f>
        <x:v>4104</x:v>
      </x:c>
    </x:row>
    <x:row r="44">
      <x:c r="A44" t="str">
        <x:v>IMV-0043</x:v>
      </x:c>
      <x:c r="B44" t="str">
        <x:v>PROP-013</x:v>
      </x:c>
      <x:c r="C44" t="str">
        <x:v>Jundiaí</x:v>
      </x:c>
      <x:c r="D44" t="str">
        <x:v>Medeiros</x:v>
      </x:c>
      <x:c r="E44" t="str">
        <x:v>Sala Comercial</x:v>
      </x:c>
      <x:c r="F44" t="str">
        <x:v>Vago</x:v>
      </x:c>
      <x:c r="G44" s="32" t="n">
        <x:v>6100</x:v>
      </x:c>
      <x:c r="H44" s="34" t="n">
        <x:v>0.08</x:v>
      </x:c>
      <x:c r="I44" s="32" t="n">
        <x:f>G44*H44</x:f>
        <x:v>488</x:v>
      </x:c>
      <x:c r="J44" s="36"/>
      <x:c r="K44" s="36"/>
      <x:c r="L44" s="36"/>
      <x:c r="M44" s="36" t="n">
        <x:v>46123</x:v>
      </x:c>
      <x:c r="N44" t="n">
        <x:v>114</x:v>
      </x:c>
      <x:c r="O44" t="str">
        <x:v>Sem inquilino</x:v>
      </x:c>
      <x:c r="P44" t="n">
        <x:v>6</x:v>
      </x:c>
      <x:c r="Q44" t="n">
        <x:v>172</x:v>
      </x:c>
      <x:c r="R44" t="n">
        <x:v>3</x:v>
      </x:c>
      <x:c r="S44" s="32" t="n">
        <x:v>5700</x:v>
      </x:c>
      <x:c r="T44" s="34" t="n">
        <x:f>IF(S44=0,0,(G44-S44)/S44)</x:f>
        <x:v>0.07017543859649122</x:v>
      </x:c>
      <x:c r="U44" t="n">
        <x:v>10</x:v>
      </x:c>
      <x:c r="V44" t="n">
        <x:v>3</x:v>
      </x:c>
      <x:c r="W44" s="32" t="n">
        <x:f>IF(F44="Vago",G44,0)</x:f>
        <x:v>6100</x:v>
      </x:c>
      <x:c r="X44" s="32" t="n">
        <x:f>I44*12</x:f>
        <x:v>5856</x:v>
      </x:c>
    </x:row>
    <x:row r="45">
      <x:c r="A45" t="str">
        <x:v>IMV-0044</x:v>
      </x:c>
      <x:c r="B45" t="str">
        <x:v>PROP-006</x:v>
      </x:c>
      <x:c r="C45" t="str">
        <x:v>Campinas</x:v>
      </x:c>
      <x:c r="D45" t="str">
        <x:v>Swift</x:v>
      </x:c>
      <x:c r="E45" t="str">
        <x:v>Casa</x:v>
      </x:c>
      <x:c r="F45" t="str">
        <x:v>Vago</x:v>
      </x:c>
      <x:c r="G45" s="32" t="n">
        <x:v>3500</x:v>
      </x:c>
      <x:c r="H45" s="34" t="n">
        <x:v>0.08</x:v>
      </x:c>
      <x:c r="I45" s="32" t="n">
        <x:f>G45*H45</x:f>
        <x:v>280</x:v>
      </x:c>
      <x:c r="J45" s="36"/>
      <x:c r="K45" s="36"/>
      <x:c r="L45" s="36"/>
      <x:c r="M45" s="36" t="n">
        <x:v>46169</x:v>
      </x:c>
      <x:c r="N45" t="n">
        <x:v>68</x:v>
      </x:c>
      <x:c r="O45" t="str">
        <x:v>Sem inquilino</x:v>
      </x:c>
      <x:c r="P45" t="n">
        <x:v>7</x:v>
      </x:c>
      <x:c r="Q45" t="n">
        <x:v>132</x:v>
      </x:c>
      <x:c r="R45" t="n">
        <x:v>3</x:v>
      </x:c>
      <x:c r="S45" s="32" t="n">
        <x:v>2800</x:v>
      </x:c>
      <x:c r="T45" s="34" t="n">
        <x:f>IF(S45=0,0,(G45-S45)/S45)</x:f>
        <x:v>0.25</x:v>
      </x:c>
      <x:c r="U45" t="n">
        <x:v>10</x:v>
      </x:c>
      <x:c r="V45" t="n">
        <x:v>2</x:v>
      </x:c>
      <x:c r="W45" s="32" t="n">
        <x:f>IF(F45="Vago",G45,0)</x:f>
        <x:v>3500</x:v>
      </x:c>
      <x:c r="X45" s="32" t="n">
        <x:f>I45*12</x:f>
        <x:v>3360</x:v>
      </x:c>
    </x:row>
    <x:row r="46">
      <x:c r="A46" t="str">
        <x:v>IMV-0045</x:v>
      </x:c>
      <x:c r="B46" t="str">
        <x:v>PROP-002</x:v>
      </x:c>
      <x:c r="C46" t="str">
        <x:v>Sorocaba</x:v>
      </x:c>
      <x:c r="D46" t="str">
        <x:v>Além Ponte</x:v>
      </x:c>
      <x:c r="E46" t="str">
        <x:v>Casa</x:v>
      </x:c>
      <x:c r="F46" t="str">
        <x:v>Vago</x:v>
      </x:c>
      <x:c r="G46" s="32" t="n">
        <x:v>4550</x:v>
      </x:c>
      <x:c r="H46" s="34" t="n">
        <x:v>0.08</x:v>
      </x:c>
      <x:c r="I46" s="32" t="n">
        <x:f>G46*H46</x:f>
        <x:v>364</x:v>
      </x:c>
      <x:c r="J46" s="36"/>
      <x:c r="K46" s="36"/>
      <x:c r="L46" s="36"/>
      <x:c r="M46" s="36" t="n">
        <x:v>46197</x:v>
      </x:c>
      <x:c r="N46" t="n">
        <x:v>40</x:v>
      </x:c>
      <x:c r="O46" t="str">
        <x:v>Sem inquilino</x:v>
      </x:c>
      <x:c r="P46" t="n">
        <x:v>1</x:v>
      </x:c>
      <x:c r="Q46" t="n">
        <x:v>108</x:v>
      </x:c>
      <x:c r="R46" t="n">
        <x:v>1</x:v>
      </x:c>
      <x:c r="S46" s="32" t="n">
        <x:v>4900</x:v>
      </x:c>
      <x:c r="T46" s="34" t="n">
        <x:f>IF(S46=0,0,(G46-S46)/S46)</x:f>
        <x:v>-0.07142857142857142</x:v>
      </x:c>
      <x:c r="U46" t="n">
        <x:v>1</x:v>
      </x:c>
      <x:c r="V46" t="n">
        <x:v>1</x:v>
      </x:c>
      <x:c r="W46" s="32" t="n">
        <x:f>IF(F46="Vago",G46,0)</x:f>
        <x:v>4550</x:v>
      </x:c>
      <x:c r="X46" s="32" t="n">
        <x:f>I46*12</x:f>
        <x:v>4368</x:v>
      </x:c>
    </x:row>
    <x:row r="47">
      <x:c r="A47" t="str">
        <x:v>IMV-0046</x:v>
      </x:c>
      <x:c r="B47" t="str">
        <x:v>PROP-013</x:v>
      </x:c>
      <x:c r="C47" t="str">
        <x:v>Indaiatuba</x:v>
      </x:c>
      <x:c r="D47" t="str">
        <x:v>Cidade Nova</x:v>
      </x:c>
      <x:c r="E47" t="str">
        <x:v>Apartamento</x:v>
      </x:c>
      <x:c r="F47" t="str">
        <x:v>Ocupado</x:v>
      </x:c>
      <x:c r="G47" s="32" t="n">
        <x:v>4650</x:v>
      </x:c>
      <x:c r="H47" s="34" t="n">
        <x:v>0.11</x:v>
      </x:c>
      <x:c r="I47" s="32" t="n">
        <x:f>G47*H47</x:f>
        <x:v>511.5</x:v>
      </x:c>
      <x:c r="J47" s="36" t="n">
        <x:v>45171</x:v>
      </x:c>
      <x:c r="K47" s="36" t="n">
        <x:v>46531</x:v>
      </x:c>
      <x:c r="L47" s="36" t="n">
        <x:v>45171</x:v>
      </x:c>
      <x:c r="M47" s="36"/>
      <x:c r="N47" t="n">
        <x:v>0</x:v>
      </x:c>
      <x:c r="O47" t="str">
        <x:v>Em dia</x:v>
      </x:c>
      <x:c r="P47" t="n">
        <x:v>7</x:v>
      </x:c>
      <x:c r="Q47" t="n">
        <x:v>117</x:v>
      </x:c>
      <x:c r="R47" t="n">
        <x:v>3</x:v>
      </x:c>
      <x:c r="S47" s="32" t="n">
        <x:v>3700</x:v>
      </x:c>
      <x:c r="T47" s="34" t="n">
        <x:f>IF(S47=0,0,(G47-S47)/S47)</x:f>
        <x:v>0.25675675675675674</x:v>
      </x:c>
      <x:c r="U47" t="n">
        <x:v>2</x:v>
      </x:c>
      <x:c r="V47" t="n">
        <x:v>0</x:v>
      </x:c>
      <x:c r="W47" s="32" t="n">
        <x:f>IF(F47="Vago",G47,0)</x:f>
        <x:v>0</x:v>
      </x:c>
      <x:c r="X47" s="32" t="n">
        <x:f>I47*12</x:f>
        <x:v>6138</x:v>
      </x:c>
    </x:row>
    <x:row r="48">
      <x:c r="A48" t="str">
        <x:v>IMV-0047</x:v>
      </x:c>
      <x:c r="B48" t="str">
        <x:v>PROP-003</x:v>
      </x:c>
      <x:c r="C48" t="str">
        <x:v>Campinas</x:v>
      </x:c>
      <x:c r="D48" t="str">
        <x:v>Cambuí</x:v>
      </x:c>
      <x:c r="E48" t="str">
        <x:v>Apartamento</x:v>
      </x:c>
      <x:c r="F48" t="str">
        <x:v>Ocupado</x:v>
      </x:c>
      <x:c r="G48" s="32" t="n">
        <x:v>2250</x:v>
      </x:c>
      <x:c r="H48" s="34" t="n">
        <x:v>0.09</x:v>
      </x:c>
      <x:c r="I48" s="32" t="n">
        <x:f>G48*H48</x:f>
        <x:v>202.5</x:v>
      </x:c>
      <x:c r="J48" s="36" t="n">
        <x:v>44798</x:v>
      </x:c>
      <x:c r="K48" s="36" t="n">
        <x:v>46584</x:v>
      </x:c>
      <x:c r="L48" s="36" t="n">
        <x:v>45528</x:v>
      </x:c>
      <x:c r="M48" s="36"/>
      <x:c r="N48" t="n">
        <x:v>0</x:v>
      </x:c>
      <x:c r="O48" t="str">
        <x:v>Atraso recorrente</x:v>
      </x:c>
      <x:c r="P48" t="n">
        <x:v>3</x:v>
      </x:c>
      <x:c r="Q48" t="n">
        <x:v>89</x:v>
      </x:c>
      <x:c r="R48" t="n">
        <x:v>4</x:v>
      </x:c>
      <x:c r="S48" s="32" t="n">
        <x:v>2350</x:v>
      </x:c>
      <x:c r="T48" s="34" t="n">
        <x:f>IF(S48=0,0,(G48-S48)/S48)</x:f>
        <x:v>-0.0425531914893617</x:v>
      </x:c>
      <x:c r="U48" t="n">
        <x:v>1</x:v>
      </x:c>
      <x:c r="V48" t="n">
        <x:v>0</x:v>
      </x:c>
      <x:c r="W48" s="32" t="n">
        <x:f>IF(F48="Vago",G48,0)</x:f>
        <x:v>0</x:v>
      </x:c>
      <x:c r="X48" s="32" t="n">
        <x:f>I48*12</x:f>
        <x:v>2430</x:v>
      </x:c>
    </x:row>
    <x:row r="49">
      <x:c r="A49" t="str">
        <x:v>IMV-0048</x:v>
      </x:c>
      <x:c r="B49" t="str">
        <x:v>PROP-011</x:v>
      </x:c>
      <x:c r="C49" t="str">
        <x:v>Indaiatuba</x:v>
      </x:c>
      <x:c r="D49" t="str">
        <x:v>Cidade Nova</x:v>
      </x:c>
      <x:c r="E49" t="str">
        <x:v>Sala Comercial</x:v>
      </x:c>
      <x:c r="F49" t="str">
        <x:v>Vago</x:v>
      </x:c>
      <x:c r="G49" s="32" t="n">
        <x:v>1350</x:v>
      </x:c>
      <x:c r="H49" s="34" t="n">
        <x:v>0.1</x:v>
      </x:c>
      <x:c r="I49" s="32" t="n">
        <x:f>G49*H49</x:f>
        <x:v>135</x:v>
      </x:c>
      <x:c r="J49" s="36"/>
      <x:c r="K49" s="36"/>
      <x:c r="L49" s="36"/>
      <x:c r="M49" s="36" t="n">
        <x:v>46022</x:v>
      </x:c>
      <x:c r="N49" t="n">
        <x:v>215</x:v>
      </x:c>
      <x:c r="O49" t="str">
        <x:v>Sem inquilino</x:v>
      </x:c>
      <x:c r="P49" t="n">
        <x:v>3</x:v>
      </x:c>
      <x:c r="Q49" t="n">
        <x:v>166</x:v>
      </x:c>
      <x:c r="R49" t="n">
        <x:v>3</x:v>
      </x:c>
      <x:c r="S49" s="32" t="n">
        <x:v>1300</x:v>
      </x:c>
      <x:c r="T49" s="34" t="n">
        <x:f>IF(S49=0,0,(G49-S49)/S49)</x:f>
        <x:v>0.038461538461538464</x:v>
      </x:c>
      <x:c r="U49" t="n">
        <x:v>1</x:v>
      </x:c>
      <x:c r="V49" t="n">
        <x:v>1</x:v>
      </x:c>
      <x:c r="W49" s="32" t="n">
        <x:f>IF(F49="Vago",G49,0)</x:f>
        <x:v>1350</x:v>
      </x:c>
      <x:c r="X49" s="32" t="n">
        <x:f>I49*12</x:f>
        <x:v>1620</x:v>
      </x:c>
    </x:row>
    <x:row r="50">
      <x:c r="A50" t="str">
        <x:v>IMV-0049</x:v>
      </x:c>
      <x:c r="B50" t="str">
        <x:v>PROP-015</x:v>
      </x:c>
      <x:c r="C50" t="str">
        <x:v>Sorocaba</x:v>
      </x:c>
      <x:c r="D50" t="str">
        <x:v>Éden</x:v>
      </x:c>
      <x:c r="E50" t="str">
        <x:v>Casa</x:v>
      </x:c>
      <x:c r="F50" t="str">
        <x:v>Ocupado</x:v>
      </x:c>
      <x:c r="G50" s="32" t="n">
        <x:v>3300</x:v>
      </x:c>
      <x:c r="H50" s="34" t="n">
        <x:v>0.09</x:v>
      </x:c>
      <x:c r="I50" s="32" t="n">
        <x:f>G50*H50</x:f>
        <x:v>297</x:v>
      </x:c>
      <x:c r="J50" s="36" t="n">
        <x:v>46055</x:v>
      </x:c>
      <x:c r="K50" s="36" t="n">
        <x:v>47150</x:v>
      </x:c>
      <x:c r="L50" s="36" t="n">
        <x:v>46055</x:v>
      </x:c>
      <x:c r="M50" s="36"/>
      <x:c r="N50" t="n">
        <x:v>0</x:v>
      </x:c>
      <x:c r="O50" t="str">
        <x:v>Em dia</x:v>
      </x:c>
      <x:c r="P50" t="n">
        <x:v>7</x:v>
      </x:c>
      <x:c r="Q50" t="n">
        <x:v>111</x:v>
      </x:c>
      <x:c r="R50" t="n">
        <x:v>1</x:v>
      </x:c>
      <x:c r="S50" s="32" t="n">
        <x:v>3650</x:v>
      </x:c>
      <x:c r="T50" s="34" t="n">
        <x:f>IF(S50=0,0,(G50-S50)/S50)</x:f>
        <x:v>-0.0958904109589041</x:v>
      </x:c>
      <x:c r="U50" t="n">
        <x:v>1</x:v>
      </x:c>
      <x:c r="V50" t="n">
        <x:v>0</x:v>
      </x:c>
      <x:c r="W50" s="32" t="n">
        <x:f>IF(F50="Vago",G50,0)</x:f>
        <x:v>0</x:v>
      </x:c>
      <x:c r="X50" s="32" t="n">
        <x:f>I50*12</x:f>
        <x:v>3564</x:v>
      </x:c>
    </x:row>
    <x:row r="51">
      <x:c r="A51" t="str">
        <x:v>IMV-0050</x:v>
      </x:c>
      <x:c r="B51" t="str">
        <x:v>PROP-014</x:v>
      </x:c>
      <x:c r="C51" t="str">
        <x:v>Sorocaba</x:v>
      </x:c>
      <x:c r="D51" t="str">
        <x:v>Campolim</x:v>
      </x:c>
      <x:c r="E51" t="str">
        <x:v>Casa</x:v>
      </x:c>
      <x:c r="F51" t="str">
        <x:v>Ocupado</x:v>
      </x:c>
      <x:c r="G51" s="32" t="n">
        <x:v>4800</x:v>
      </x:c>
      <x:c r="H51" s="34" t="n">
        <x:v>0.11</x:v>
      </x:c>
      <x:c r="I51" s="32" t="n">
        <x:f>G51*H51</x:f>
        <x:v>528</x:v>
      </x:c>
      <x:c r="J51" s="36" t="n">
        <x:v>45271</x:v>
      </x:c>
      <x:c r="K51" s="36" t="n">
        <x:v>46311</x:v>
      </x:c>
      <x:c r="L51" s="36" t="n">
        <x:v>46001</x:v>
      </x:c>
      <x:c r="M51" s="36"/>
      <x:c r="N51" t="n">
        <x:v>0</x:v>
      </x:c>
      <x:c r="O51" t="str">
        <x:v>Em dia</x:v>
      </x:c>
      <x:c r="P51" t="n">
        <x:v>4</x:v>
      </x:c>
      <x:c r="Q51" t="n">
        <x:v>16</x:v>
      </x:c>
      <x:c r="R51" t="n">
        <x:v>0</x:v>
      </x:c>
      <x:c r="S51" s="32" t="n">
        <x:v>3900</x:v>
      </x:c>
      <x:c r="T51" s="34" t="n">
        <x:f>IF(S51=0,0,(G51-S51)/S51)</x:f>
        <x:v>0.23076923076923078</x:v>
      </x:c>
      <x:c r="U51" t="n">
        <x:v>0</x:v>
      </x:c>
      <x:c r="V51" t="n">
        <x:v>0</x:v>
      </x:c>
      <x:c r="W51" s="32" t="n">
        <x:f>IF(F51="Vago",G51,0)</x:f>
        <x:v>0</x:v>
      </x:c>
      <x:c r="X51" s="32" t="n">
        <x:f>I51*12</x:f>
        <x:v>6336</x:v>
      </x:c>
    </x:row>
    <x:row r="52">
      <x:c r="A52" t="str">
        <x:v>IMV-0051</x:v>
      </x:c>
      <x:c r="B52" t="str">
        <x:v>PROP-002</x:v>
      </x:c>
      <x:c r="C52" t="str">
        <x:v>Jundiaí</x:v>
      </x:c>
      <x:c r="D52" t="str">
        <x:v>Vila Arens</x:v>
      </x:c>
      <x:c r="E52" t="str">
        <x:v>Apartamento</x:v>
      </x:c>
      <x:c r="F52" t="str">
        <x:v>Vago</x:v>
      </x:c>
      <x:c r="G52" s="32" t="n">
        <x:v>2650</x:v>
      </x:c>
      <x:c r="H52" s="34" t="n">
        <x:v>0.08</x:v>
      </x:c>
      <x:c r="I52" s="32" t="n">
        <x:f>G52*H52</x:f>
        <x:v>212</x:v>
      </x:c>
      <x:c r="J52" s="36"/>
      <x:c r="K52" s="36"/>
      <x:c r="L52" s="36"/>
      <x:c r="M52" s="36" t="n">
        <x:v>46187</x:v>
      </x:c>
      <x:c r="N52" t="n">
        <x:v>50</x:v>
      </x:c>
      <x:c r="O52" t="str">
        <x:v>Sem inquilino</x:v>
      </x:c>
      <x:c r="P52" t="n">
        <x:v>2</x:v>
      </x:c>
      <x:c r="Q52" t="n">
        <x:v>163</x:v>
      </x:c>
      <x:c r="R52" t="n">
        <x:v>1</x:v>
      </x:c>
      <x:c r="S52" s="32" t="n">
        <x:v>2250</x:v>
      </x:c>
      <x:c r="T52" s="34" t="n">
        <x:f>IF(S52=0,0,(G52-S52)/S52)</x:f>
        <x:v>0.17777777777777778</x:v>
      </x:c>
      <x:c r="U52" t="n">
        <x:v>1</x:v>
      </x:c>
      <x:c r="V52" t="n">
        <x:v>1</x:v>
      </x:c>
      <x:c r="W52" s="32" t="n">
        <x:f>IF(F52="Vago",G52,0)</x:f>
        <x:v>2650</x:v>
      </x:c>
      <x:c r="X52" s="32" t="n">
        <x:f>I52*12</x:f>
        <x:v>2544</x:v>
      </x:c>
    </x:row>
    <x:row r="53">
      <x:c r="A53" t="str">
        <x:v>IMV-0052</x:v>
      </x:c>
      <x:c r="B53" t="str">
        <x:v>PROP-011</x:v>
      </x:c>
      <x:c r="C53" t="str">
        <x:v>Campinas</x:v>
      </x:c>
      <x:c r="D53" t="str">
        <x:v>Cambuí</x:v>
      </x:c>
      <x:c r="E53" t="str">
        <x:v>Apartamento</x:v>
      </x:c>
      <x:c r="F53" t="str">
        <x:v>Ocupado</x:v>
      </x:c>
      <x:c r="G53" s="32" t="n">
        <x:v>5000</x:v>
      </x:c>
      <x:c r="H53" s="34" t="n">
        <x:v>0.12</x:v>
      </x:c>
      <x:c r="I53" s="32" t="n">
        <x:f>G53*H53</x:f>
        <x:v>600</x:v>
      </x:c>
      <x:c r="J53" s="36" t="n">
        <x:v>45048</x:v>
      </x:c>
      <x:c r="K53" s="36" t="n">
        <x:v>46395</x:v>
      </x:c>
      <x:c r="L53" s="36" t="n">
        <x:v>45048</x:v>
      </x:c>
      <x:c r="M53" s="36"/>
      <x:c r="N53" t="n">
        <x:v>0</x:v>
      </x:c>
      <x:c r="O53" t="str">
        <x:v>Em dia</x:v>
      </x:c>
      <x:c r="P53" t="n">
        <x:v>5</x:v>
      </x:c>
      <x:c r="Q53" t="n">
        <x:v>111</x:v>
      </x:c>
      <x:c r="R53" t="n">
        <x:v>3</x:v>
      </x:c>
      <x:c r="S53" s="32" t="n">
        <x:v>5050</x:v>
      </x:c>
      <x:c r="T53" s="34" t="n">
        <x:f>IF(S53=0,0,(G53-S53)/S53)</x:f>
        <x:v>-0.009900990099009901</x:v>
      </x:c>
      <x:c r="U53" t="n">
        <x:v>3</x:v>
      </x:c>
      <x:c r="V53" t="n">
        <x:v>0</x:v>
      </x:c>
      <x:c r="W53" s="32" t="n">
        <x:f>IF(F53="Vago",G53,0)</x:f>
        <x:v>0</x:v>
      </x:c>
      <x:c r="X53" s="32" t="n">
        <x:f>I53*12</x:f>
        <x:v>7200</x:v>
      </x:c>
    </x:row>
    <x:row r="54">
      <x:c r="A54" t="str">
        <x:v>IMV-0053</x:v>
      </x:c>
      <x:c r="B54" t="str">
        <x:v>PROP-015</x:v>
      </x:c>
      <x:c r="C54" t="str">
        <x:v>Jundiaí</x:v>
      </x:c>
      <x:c r="D54" t="str">
        <x:v>Eloy Chaves</x:v>
      </x:c>
      <x:c r="E54" t="str">
        <x:v>Galpão</x:v>
      </x:c>
      <x:c r="F54" t="str">
        <x:v>Ocupado</x:v>
      </x:c>
      <x:c r="G54" s="32" t="n">
        <x:v>1800</x:v>
      </x:c>
      <x:c r="H54" s="34" t="n">
        <x:v>0.1</x:v>
      </x:c>
      <x:c r="I54" s="32" t="n">
        <x:f>G54*H54</x:f>
        <x:v>180</x:v>
      </x:c>
      <x:c r="J54" s="36" t="n">
        <x:v>44794</x:v>
      </x:c>
      <x:c r="K54" s="36" t="n">
        <x:v>46277</x:v>
      </x:c>
      <x:c r="L54" s="36" t="n">
        <x:v>45889</x:v>
      </x:c>
      <x:c r="M54" s="36"/>
      <x:c r="N54" t="n">
        <x:v>0</x:v>
      </x:c>
      <x:c r="O54" t="str">
        <x:v>Atraso ocasional</x:v>
      </x:c>
      <x:c r="P54" t="n">
        <x:v>7</x:v>
      </x:c>
      <x:c r="Q54" t="n">
        <x:v>87</x:v>
      </x:c>
      <x:c r="R54" t="n">
        <x:v>1</x:v>
      </x:c>
      <x:c r="S54" s="32" t="n">
        <x:v>1550</x:v>
      </x:c>
      <x:c r="T54" s="34" t="n">
        <x:f>IF(S54=0,0,(G54-S54)/S54)</x:f>
        <x:v>0.16129032258064516</x:v>
      </x:c>
      <x:c r="U54" t="n">
        <x:v>1</x:v>
      </x:c>
      <x:c r="V54" t="n">
        <x:v>0</x:v>
      </x:c>
      <x:c r="W54" s="32" t="n">
        <x:f>IF(F54="Vago",G54,0)</x:f>
        <x:v>0</x:v>
      </x:c>
      <x:c r="X54" s="32" t="n">
        <x:f>I54*12</x:f>
        <x:v>2160</x:v>
      </x:c>
    </x:row>
    <x:row r="55">
      <x:c r="A55" t="str">
        <x:v>IMV-0054</x:v>
      </x:c>
      <x:c r="B55" t="str">
        <x:v>PROP-014</x:v>
      </x:c>
      <x:c r="C55" t="str">
        <x:v>Valinhos</x:v>
      </x:c>
      <x:c r="D55" t="str">
        <x:v>Vila Santana</x:v>
      </x:c>
      <x:c r="E55" t="str">
        <x:v>Sala Comercial</x:v>
      </x:c>
      <x:c r="F55" t="str">
        <x:v>Ocupado</x:v>
      </x:c>
      <x:c r="G55" s="32" t="n">
        <x:v>6250</x:v>
      </x:c>
      <x:c r="H55" s="34" t="n">
        <x:v>0.11</x:v>
      </x:c>
      <x:c r="I55" s="32" t="n">
        <x:f>G55*H55</x:f>
        <x:v>687.5</x:v>
      </x:c>
      <x:c r="J55" s="36" t="n">
        <x:v>45027</x:v>
      </x:c>
      <x:c r="K55" s="36" t="n">
        <x:v>46722</x:v>
      </x:c>
      <x:c r="L55" s="36" t="n">
        <x:v>45392</x:v>
      </x:c>
      <x:c r="M55" s="36"/>
      <x:c r="N55" t="n">
        <x:v>0</x:v>
      </x:c>
      <x:c r="O55" t="str">
        <x:v>Atraso ocasional</x:v>
      </x:c>
      <x:c r="P55" t="n">
        <x:v>4</x:v>
      </x:c>
      <x:c r="Q55" t="n">
        <x:v>136</x:v>
      </x:c>
      <x:c r="R55" t="n">
        <x:v>0</x:v>
      </x:c>
      <x:c r="S55" s="32" t="n">
        <x:v>7000</x:v>
      </x:c>
      <x:c r="T55" s="34" t="n">
        <x:f>IF(S55=0,0,(G55-S55)/S55)</x:f>
        <x:v>-0.10714285714285714</x:v>
      </x:c>
      <x:c r="U55" t="n">
        <x:v>0</x:v>
      </x:c>
      <x:c r="V55" t="n">
        <x:v>0</x:v>
      </x:c>
      <x:c r="W55" s="32" t="n">
        <x:f>IF(F55="Vago",G55,0)</x:f>
        <x:v>0</x:v>
      </x:c>
      <x:c r="X55" s="32" t="n">
        <x:f>I55*12</x:f>
        <x:v>8250</x:v>
      </x:c>
    </x:row>
    <x:row r="56">
      <x:c r="A56" t="str">
        <x:v>IMV-0055</x:v>
      </x:c>
      <x:c r="B56" t="str">
        <x:v>PROP-013</x:v>
      </x:c>
      <x:c r="C56" t="str">
        <x:v>Jundiaí</x:v>
      </x:c>
      <x:c r="D56" t="str">
        <x:v>Eloy Chaves</x:v>
      </x:c>
      <x:c r="E56" t="str">
        <x:v>Apartamento</x:v>
      </x:c>
      <x:c r="F56" t="str">
        <x:v>Ocupado</x:v>
      </x:c>
      <x:c r="G56" s="32" t="n">
        <x:v>2150</x:v>
      </x:c>
      <x:c r="H56" s="34" t="n">
        <x:v>0.08</x:v>
      </x:c>
      <x:c r="I56" s="32" t="n">
        <x:f>G56*H56</x:f>
        <x:v>172</x:v>
      </x:c>
      <x:c r="J56" s="36" t="n">
        <x:v>45290</x:v>
      </x:c>
      <x:c r="K56" s="36" t="n">
        <x:v>46567</x:v>
      </x:c>
      <x:c r="L56" s="36" t="n">
        <x:v>45655</x:v>
      </x:c>
      <x:c r="M56" s="36"/>
      <x:c r="N56" t="n">
        <x:v>0</x:v>
      </x:c>
      <x:c r="O56" t="str">
        <x:v>Atraso ocasional</x:v>
      </x:c>
      <x:c r="P56" t="n">
        <x:v>7</x:v>
      </x:c>
      <x:c r="Q56" t="n">
        <x:v>50</x:v>
      </x:c>
      <x:c r="R56" t="n">
        <x:v>3</x:v>
      </x:c>
      <x:c r="S56" s="32" t="n">
        <x:v>1700</x:v>
      </x:c>
      <x:c r="T56" s="34" t="n">
        <x:f>IF(S56=0,0,(G56-S56)/S56)</x:f>
        <x:v>0.2647058823529412</x:v>
      </x:c>
      <x:c r="U56" t="n">
        <x:v>1</x:v>
      </x:c>
      <x:c r="V56" t="n">
        <x:v>0</x:v>
      </x:c>
      <x:c r="W56" s="32" t="n">
        <x:f>IF(F56="Vago",G56,0)</x:f>
        <x:v>0</x:v>
      </x:c>
      <x:c r="X56" s="32" t="n">
        <x:f>I56*12</x:f>
        <x:v>2064</x:v>
      </x:c>
    </x:row>
    <x:row r="57">
      <x:c r="A57" t="str">
        <x:v>IMV-0056</x:v>
      </x:c>
      <x:c r="B57" t="str">
        <x:v>PROP-008</x:v>
      </x:c>
      <x:c r="C57" t="str">
        <x:v>Valinhos</x:v>
      </x:c>
      <x:c r="D57" t="str">
        <x:v>Vila Santana</x:v>
      </x:c>
      <x:c r="E57" t="str">
        <x:v>Casa</x:v>
      </x:c>
      <x:c r="F57" t="str">
        <x:v>Ocupado</x:v>
      </x:c>
      <x:c r="G57" s="32" t="n">
        <x:v>4550</x:v>
      </x:c>
      <x:c r="H57" s="34" t="n">
        <x:v>0.08</x:v>
      </x:c>
      <x:c r="I57" s="32" t="n">
        <x:f>G57*H57</x:f>
        <x:v>364</x:v>
      </x:c>
      <x:c r="J57" s="36" t="n">
        <x:v>45127</x:v>
      </x:c>
      <x:c r="K57" s="36" t="n">
        <x:v>46372</x:v>
      </x:c>
      <x:c r="L57" s="36" t="n">
        <x:v>45492</x:v>
      </x:c>
      <x:c r="M57" s="36"/>
      <x:c r="N57" t="n">
        <x:v>0</x:v>
      </x:c>
      <x:c r="O57" t="str">
        <x:v>Em dia</x:v>
      </x:c>
      <x:c r="P57" t="n">
        <x:v>6</x:v>
      </x:c>
      <x:c r="Q57" t="n">
        <x:v>84</x:v>
      </x:c>
      <x:c r="R57" t="n">
        <x:v>3</x:v>
      </x:c>
      <x:c r="S57" s="32" t="n">
        <x:v>4200</x:v>
      </x:c>
      <x:c r="T57" s="34" t="n">
        <x:f>IF(S57=0,0,(G57-S57)/S57)</x:f>
        <x:v>0.08333333333333333</x:v>
      </x:c>
      <x:c r="U57" t="n">
        <x:v>0</x:v>
      </x:c>
      <x:c r="V57" t="n">
        <x:v>0</x:v>
      </x:c>
      <x:c r="W57" s="32" t="n">
        <x:f>IF(F57="Vago",G57,0)</x:f>
        <x:v>0</x:v>
      </x:c>
      <x:c r="X57" s="32" t="n">
        <x:f>I57*12</x:f>
        <x:v>4368</x:v>
      </x:c>
    </x:row>
    <x:row r="58">
      <x:c r="A58" t="str">
        <x:v>IMV-0057</x:v>
      </x:c>
      <x:c r="B58" t="str">
        <x:v>PROP-001</x:v>
      </x:c>
      <x:c r="C58" t="str">
        <x:v>Jundiaí</x:v>
      </x:c>
      <x:c r="D58" t="str">
        <x:v>Eloy Chaves</x:v>
      </x:c>
      <x:c r="E58" t="str">
        <x:v>Sala Comercial</x:v>
      </x:c>
      <x:c r="F58" t="str">
        <x:v>Ocupado</x:v>
      </x:c>
      <x:c r="G58" s="32" t="n">
        <x:v>1200</x:v>
      </x:c>
      <x:c r="H58" s="34" t="n">
        <x:v>0.1</x:v>
      </x:c>
      <x:c r="I58" s="32" t="n">
        <x:f>G58*H58</x:f>
        <x:v>120</x:v>
      </x:c>
      <x:c r="J58" s="36" t="n">
        <x:v>45056</x:v>
      </x:c>
      <x:c r="K58" s="36" t="n">
        <x:v>46513</x:v>
      </x:c>
      <x:c r="L58" s="36" t="n">
        <x:v>45786</x:v>
      </x:c>
      <x:c r="M58" s="36"/>
      <x:c r="N58" t="n">
        <x:v>0</x:v>
      </x:c>
      <x:c r="O58" t="str">
        <x:v>Em dia</x:v>
      </x:c>
      <x:c r="P58" t="n">
        <x:v>2</x:v>
      </x:c>
      <x:c r="Q58" t="n">
        <x:v>93</x:v>
      </x:c>
      <x:c r="R58" t="n">
        <x:v>1</x:v>
      </x:c>
      <x:c r="S58" s="32" t="n">
        <x:v>1200</x:v>
      </x:c>
      <x:c r="T58" s="34" t="n">
        <x:f>IF(S58=0,0,(G58-S58)/S58)</x:f>
        <x:v>0</x:v>
      </x:c>
      <x:c r="U58" t="n">
        <x:v>3</x:v>
      </x:c>
      <x:c r="V58" t="n">
        <x:v>0</x:v>
      </x:c>
      <x:c r="W58" s="32" t="n">
        <x:f>IF(F58="Vago",G58,0)</x:f>
        <x:v>0</x:v>
      </x:c>
      <x:c r="X58" s="32" t="n">
        <x:f>I58*12</x:f>
        <x:v>1440</x:v>
      </x:c>
    </x:row>
    <x:row r="59">
      <x:c r="A59" t="str">
        <x:v>IMV-0058</x:v>
      </x:c>
      <x:c r="B59" t="str">
        <x:v>PROP-009</x:v>
      </x:c>
      <x:c r="C59" t="str">
        <x:v>Indaiatuba</x:v>
      </x:c>
      <x:c r="D59" t="str">
        <x:v>Jardim Pau Preto</x:v>
      </x:c>
      <x:c r="E59" t="str">
        <x:v>Apartamento</x:v>
      </x:c>
      <x:c r="F59" t="str">
        <x:v>Ocupado</x:v>
      </x:c>
      <x:c r="G59" s="32" t="n">
        <x:v>1300</x:v>
      </x:c>
      <x:c r="H59" s="34" t="n">
        <x:v>0.09</x:v>
      </x:c>
      <x:c r="I59" s="32" t="n">
        <x:f>G59*H59</x:f>
        <x:v>117</x:v>
      </x:c>
      <x:c r="J59" s="36" t="n">
        <x:v>44994</x:v>
      </x:c>
      <x:c r="K59" s="36" t="n">
        <x:v>46266</x:v>
      </x:c>
      <x:c r="L59" s="36" t="n">
        <x:v>44994</x:v>
      </x:c>
      <x:c r="M59" s="36"/>
      <x:c r="N59" t="n">
        <x:v>0</x:v>
      </x:c>
      <x:c r="O59" t="str">
        <x:v>Em dia</x:v>
      </x:c>
      <x:c r="P59" t="n">
        <x:v>5</x:v>
      </x:c>
      <x:c r="Q59" t="n">
        <x:v>98</x:v>
      </x:c>
      <x:c r="R59" t="n">
        <x:v>1</x:v>
      </x:c>
      <x:c r="S59" s="32" t="n">
        <x:v>1050</x:v>
      </x:c>
      <x:c r="T59" s="34" t="n">
        <x:f>IF(S59=0,0,(G59-S59)/S59)</x:f>
        <x:v>0.23809523809523808</x:v>
      </x:c>
      <x:c r="U59" t="n">
        <x:v>1</x:v>
      </x:c>
      <x:c r="V59" t="n">
        <x:v>0</x:v>
      </x:c>
      <x:c r="W59" s="32" t="n">
        <x:f>IF(F59="Vago",G59,0)</x:f>
        <x:v>0</x:v>
      </x:c>
      <x:c r="X59" s="32" t="n">
        <x:f>I59*12</x:f>
        <x:v>1404</x:v>
      </x:c>
    </x:row>
    <x:row r="60">
      <x:c r="A60" t="str">
        <x:v>IMV-0059</x:v>
      </x:c>
      <x:c r="B60" t="str">
        <x:v>PROP-008</x:v>
      </x:c>
      <x:c r="C60" t="str">
        <x:v>Jundiaí</x:v>
      </x:c>
      <x:c r="D60" t="str">
        <x:v>Anhangabaú</x:v>
      </x:c>
      <x:c r="E60" t="str">
        <x:v>Apartamento</x:v>
      </x:c>
      <x:c r="F60" t="str">
        <x:v>Ocupado</x:v>
      </x:c>
      <x:c r="G60" s="32" t="n">
        <x:v>5500</x:v>
      </x:c>
      <x:c r="H60" s="34" t="n">
        <x:v>0.09</x:v>
      </x:c>
      <x:c r="I60" s="32" t="n">
        <x:f>G60*H60</x:f>
        <x:v>495</x:v>
      </x:c>
      <x:c r="J60" s="36" t="n">
        <x:v>44828</x:v>
      </x:c>
      <x:c r="K60" s="36" t="n">
        <x:v>46493</x:v>
      </x:c>
      <x:c r="L60" s="36" t="n">
        <x:v>44828</x:v>
      </x:c>
      <x:c r="M60" s="36"/>
      <x:c r="N60" t="n">
        <x:v>0</x:v>
      </x:c>
      <x:c r="O60" t="str">
        <x:v>Em dia</x:v>
      </x:c>
      <x:c r="P60" t="n">
        <x:v>0</x:v>
      </x:c>
      <x:c r="Q60" t="n">
        <x:v>52</x:v>
      </x:c>
      <x:c r="R60" t="n">
        <x:v>3</x:v>
      </x:c>
      <x:c r="S60" s="32" t="n">
        <x:v>4650</x:v>
      </x:c>
      <x:c r="T60" s="34" t="n">
        <x:f>IF(S60=0,0,(G60-S60)/S60)</x:f>
        <x:v>0.1827956989247312</x:v>
      </x:c>
      <x:c r="U60" t="n">
        <x:v>1</x:v>
      </x:c>
      <x:c r="V60" t="n">
        <x:v>0</x:v>
      </x:c>
      <x:c r="W60" s="32" t="n">
        <x:f>IF(F60="Vago",G60,0)</x:f>
        <x:v>0</x:v>
      </x:c>
      <x:c r="X60" s="32" t="n">
        <x:f>I60*12</x:f>
        <x:v>5940</x:v>
      </x:c>
    </x:row>
    <x:row r="61">
      <x:c r="A61" t="str">
        <x:v>IMV-0060</x:v>
      </x:c>
      <x:c r="B61" t="str">
        <x:v>PROP-007</x:v>
      </x:c>
      <x:c r="C61" t="str">
        <x:v>Jundiaí</x:v>
      </x:c>
      <x:c r="D61" t="str">
        <x:v>Anhangabaú</x:v>
      </x:c>
      <x:c r="E61" t="str">
        <x:v>Sala Comercial</x:v>
      </x:c>
      <x:c r="F61" t="str">
        <x:v>Ocupado</x:v>
      </x:c>
      <x:c r="G61" s="32" t="n">
        <x:v>5000</x:v>
      </x:c>
      <x:c r="H61" s="34" t="n">
        <x:v>0.12</x:v>
      </x:c>
      <x:c r="I61" s="32" t="n">
        <x:f>G61*H61</x:f>
        <x:v>600</x:v>
      </x:c>
      <x:c r="J61" s="36" t="n">
        <x:v>45081</x:v>
      </x:c>
      <x:c r="K61" s="36" t="n">
        <x:v>46445</x:v>
      </x:c>
      <x:c r="L61" s="36" t="n">
        <x:v>45446</x:v>
      </x:c>
      <x:c r="M61" s="36"/>
      <x:c r="N61" t="n">
        <x:v>0</x:v>
      </x:c>
      <x:c r="O61" t="str">
        <x:v>Em dia</x:v>
      </x:c>
      <x:c r="P61" t="n">
        <x:v>6</x:v>
      </x:c>
      <x:c r="Q61" t="n">
        <x:v>175</x:v>
      </x:c>
      <x:c r="R61" t="n">
        <x:v>4</x:v>
      </x:c>
      <x:c r="S61" s="32" t="n">
        <x:v>4750</x:v>
      </x:c>
      <x:c r="T61" s="34" t="n">
        <x:f>IF(S61=0,0,(G61-S61)/S61)</x:f>
        <x:v>0.05263157894736842</x:v>
      </x:c>
      <x:c r="U61" t="n">
        <x:v>3</x:v>
      </x:c>
      <x:c r="V61" t="n">
        <x:v>0</x:v>
      </x:c>
      <x:c r="W61" s="32" t="n">
        <x:f>IF(F61="Vago",G61,0)</x:f>
        <x:v>0</x:v>
      </x:c>
      <x:c r="X61" s="32" t="n">
        <x:f>I61*12</x:f>
        <x:v>7200</x:v>
      </x:c>
    </x:row>
    <x:row r="62">
      <x:c r="A62" t="str">
        <x:v>IMV-0061</x:v>
      </x:c>
      <x:c r="B62" t="str">
        <x:v>PROP-010</x:v>
      </x:c>
      <x:c r="C62" t="str">
        <x:v>Sorocaba</x:v>
      </x:c>
      <x:c r="D62" t="str">
        <x:v>Campolim</x:v>
      </x:c>
      <x:c r="E62" t="str">
        <x:v>Apartamento</x:v>
      </x:c>
      <x:c r="F62" t="str">
        <x:v>Ocupado</x:v>
      </x:c>
      <x:c r="G62" s="32" t="n">
        <x:v>6050</x:v>
      </x:c>
      <x:c r="H62" s="34" t="n">
        <x:v>0.12</x:v>
      </x:c>
      <x:c r="I62" s="32" t="n">
        <x:f>G62*H62</x:f>
        <x:v>726</x:v>
      </x:c>
      <x:c r="J62" s="36" t="n">
        <x:v>46106</x:v>
      </x:c>
      <x:c r="K62" s="36" t="n">
        <x:v>46836</x:v>
      </x:c>
      <x:c r="L62" s="36" t="n">
        <x:v>46106</x:v>
      </x:c>
      <x:c r="M62" s="36"/>
      <x:c r="N62" t="n">
        <x:v>0</x:v>
      </x:c>
      <x:c r="O62" t="str">
        <x:v>Atraso ocasional</x:v>
      </x:c>
      <x:c r="P62" t="n">
        <x:v>5</x:v>
      </x:c>
      <x:c r="Q62" t="n">
        <x:v>10</x:v>
      </x:c>
      <x:c r="R62" t="n">
        <x:v>2</x:v>
      </x:c>
      <x:c r="S62" s="32" t="n">
        <x:v>6100</x:v>
      </x:c>
      <x:c r="T62" s="34" t="n">
        <x:f>IF(S62=0,0,(G62-S62)/S62)</x:f>
        <x:v>-0.00819672131147541</x:v>
      </x:c>
      <x:c r="U62" t="n">
        <x:v>1</x:v>
      </x:c>
      <x:c r="V62" t="n">
        <x:v>0</x:v>
      </x:c>
      <x:c r="W62" s="32" t="n">
        <x:f>IF(F62="Vago",G62,0)</x:f>
        <x:v>0</x:v>
      </x:c>
      <x:c r="X62" s="32" t="n">
        <x:f>I62*12</x:f>
        <x:v>8712</x:v>
      </x:c>
    </x:row>
    <x:row r="63">
      <x:c r="A63" t="str">
        <x:v>IMV-0062</x:v>
      </x:c>
      <x:c r="B63" t="str">
        <x:v>PROP-003</x:v>
      </x:c>
      <x:c r="C63" t="str">
        <x:v>Campinas</x:v>
      </x:c>
      <x:c r="D63" t="str">
        <x:v>Barão Geraldo</x:v>
      </x:c>
      <x:c r="E63" t="str">
        <x:v>Casa</x:v>
      </x:c>
      <x:c r="F63" t="str">
        <x:v>Ocupado</x:v>
      </x:c>
      <x:c r="G63" s="32" t="n">
        <x:v>4000</x:v>
      </x:c>
      <x:c r="H63" s="34" t="n">
        <x:v>0.09</x:v>
      </x:c>
      <x:c r="I63" s="32" t="n">
        <x:f>G63*H63</x:f>
        <x:v>360</x:v>
      </x:c>
      <x:c r="J63" s="36" t="n">
        <x:v>45086</x:v>
      </x:c>
      <x:c r="K63" s="36" t="n">
        <x:v>46529</x:v>
      </x:c>
      <x:c r="L63" s="36" t="n">
        <x:v>46181</x:v>
      </x:c>
      <x:c r="M63" s="36"/>
      <x:c r="N63" t="n">
        <x:v>0</x:v>
      </x:c>
      <x:c r="O63" t="str">
        <x:v>Atraso recorrente</x:v>
      </x:c>
      <x:c r="P63" t="n">
        <x:v>4</x:v>
      </x:c>
      <x:c r="Q63" t="n">
        <x:v>160</x:v>
      </x:c>
      <x:c r="R63" t="n">
        <x:v>4</x:v>
      </x:c>
      <x:c r="S63" s="32" t="n">
        <x:v>3350</x:v>
      </x:c>
      <x:c r="T63" s="34" t="n">
        <x:f>IF(S63=0,0,(G63-S63)/S63)</x:f>
        <x:v>0.19402985074626866</x:v>
      </x:c>
      <x:c r="U63" t="n">
        <x:v>0</x:v>
      </x:c>
      <x:c r="V63" t="n">
        <x:v>0</x:v>
      </x:c>
      <x:c r="W63" s="32" t="n">
        <x:f>IF(F63="Vago",G63,0)</x:f>
        <x:v>0</x:v>
      </x:c>
      <x:c r="X63" s="32" t="n">
        <x:f>I63*12</x:f>
        <x:v>4320</x:v>
      </x:c>
    </x:row>
    <x:row r="64">
      <x:c r="A64" t="str">
        <x:v>IMV-0063</x:v>
      </x:c>
      <x:c r="B64" t="str">
        <x:v>PROP-013</x:v>
      </x:c>
      <x:c r="C64" t="str">
        <x:v>Jundiaí</x:v>
      </x:c>
      <x:c r="D64" t="str">
        <x:v>Anhangabaú</x:v>
      </x:c>
      <x:c r="E64" t="str">
        <x:v>Galpão</x:v>
      </x:c>
      <x:c r="F64" t="str">
        <x:v>Ocupado</x:v>
      </x:c>
      <x:c r="G64" s="32" t="n">
        <x:v>1850</x:v>
      </x:c>
      <x:c r="H64" s="34" t="n">
        <x:v>0.11</x:v>
      </x:c>
      <x:c r="I64" s="32" t="n">
        <x:f>G64*H64</x:f>
        <x:v>203.5</x:v>
      </x:c>
      <x:c r="J64" s="36" t="n">
        <x:v>46022</x:v>
      </x:c>
      <x:c r="K64" s="36" t="n">
        <x:v>46752</x:v>
      </x:c>
      <x:c r="L64" s="36" t="n">
        <x:v>46022</x:v>
      </x:c>
      <x:c r="M64" s="36"/>
      <x:c r="N64" t="n">
        <x:v>0</x:v>
      </x:c>
      <x:c r="O64" t="str">
        <x:v>Em dia</x:v>
      </x:c>
      <x:c r="P64" t="n">
        <x:v>0</x:v>
      </x:c>
      <x:c r="Q64" t="n">
        <x:v>60</x:v>
      </x:c>
      <x:c r="R64" t="n">
        <x:v>3</x:v>
      </x:c>
      <x:c r="S64" s="32" t="n">
        <x:v>1550</x:v>
      </x:c>
      <x:c r="T64" s="34" t="n">
        <x:f>IF(S64=0,0,(G64-S64)/S64)</x:f>
        <x:v>0.1935483870967742</x:v>
      </x:c>
      <x:c r="U64" t="n">
        <x:v>1</x:v>
      </x:c>
      <x:c r="V64" t="n">
        <x:v>0</x:v>
      </x:c>
      <x:c r="W64" s="32" t="n">
        <x:f>IF(F64="Vago",G64,0)</x:f>
        <x:v>0</x:v>
      </x:c>
      <x:c r="X64" s="32" t="n">
        <x:f>I64*12</x:f>
        <x:v>2442</x:v>
      </x:c>
    </x:row>
    <x:row r="65">
      <x:c r="A65" t="str">
        <x:v>IMV-0064</x:v>
      </x:c>
      <x:c r="B65" t="str">
        <x:v>PROP-013</x:v>
      </x:c>
      <x:c r="C65" t="str">
        <x:v>Indaiatuba</x:v>
      </x:c>
      <x:c r="D65" t="str">
        <x:v>Jardim Morada do Sol</x:v>
      </x:c>
      <x:c r="E65" t="str">
        <x:v>Sala Comercial</x:v>
      </x:c>
      <x:c r="F65" t="str">
        <x:v>Ocupado</x:v>
      </x:c>
      <x:c r="G65" s="32" t="n">
        <x:v>5650</x:v>
      </x:c>
      <x:c r="H65" s="34" t="n">
        <x:v>0.1</x:v>
      </x:c>
      <x:c r="I65" s="32" t="n">
        <x:f>G65*H65</x:f>
        <x:v>565</x:v>
      </x:c>
      <x:c r="J65" s="36" t="n">
        <x:v>44853</x:v>
      </x:c>
      <x:c r="K65" s="36" t="n">
        <x:v>46631</x:v>
      </x:c>
      <x:c r="L65" s="36" t="n">
        <x:v>45218</x:v>
      </x:c>
      <x:c r="M65" s="36"/>
      <x:c r="N65" t="n">
        <x:v>0</x:v>
      </x:c>
      <x:c r="O65" t="str">
        <x:v>Em dia</x:v>
      </x:c>
      <x:c r="P65" t="n">
        <x:v>4</x:v>
      </x:c>
      <x:c r="Q65" t="n">
        <x:v>171</x:v>
      </x:c>
      <x:c r="R65" t="n">
        <x:v>3</x:v>
      </x:c>
      <x:c r="S65" s="32" t="n">
        <x:v>5150</x:v>
      </x:c>
      <x:c r="T65" s="34" t="n">
        <x:f>IF(S65=0,0,(G65-S65)/S65)</x:f>
        <x:v>0.0970873786407767</x:v>
      </x:c>
      <x:c r="U65" t="n">
        <x:v>2</x:v>
      </x:c>
      <x:c r="V65" t="n">
        <x:v>0</x:v>
      </x:c>
      <x:c r="W65" s="32" t="n">
        <x:f>IF(F65="Vago",G65,0)</x:f>
        <x:v>0</x:v>
      </x:c>
      <x:c r="X65" s="32" t="n">
        <x:f>I65*12</x:f>
        <x:v>6780</x:v>
      </x:c>
    </x:row>
    <x:row r="66">
      <x:c r="A66" t="str">
        <x:v>IMV-0065</x:v>
      </x:c>
      <x:c r="B66" t="str">
        <x:v>PROP-003</x:v>
      </x:c>
      <x:c r="C66" t="str">
        <x:v>Jundiaí</x:v>
      </x:c>
      <x:c r="D66" t="str">
        <x:v>Eloy Chaves</x:v>
      </x:c>
      <x:c r="E66" t="str">
        <x:v>Apartamento</x:v>
      </x:c>
      <x:c r="F66" t="str">
        <x:v>Ocupado</x:v>
      </x:c>
      <x:c r="G66" s="32" t="n">
        <x:v>4000</x:v>
      </x:c>
      <x:c r="H66" s="34" t="n">
        <x:v>0.08</x:v>
      </x:c>
      <x:c r="I66" s="32" t="n">
        <x:f>G66*H66</x:f>
        <x:v>320</x:v>
      </x:c>
      <x:c r="J66" s="36" t="n">
        <x:v>44793</x:v>
      </x:c>
      <x:c r="K66" s="36" t="n">
        <x:v>46270</x:v>
      </x:c>
      <x:c r="L66" s="36" t="n">
        <x:v>45888</x:v>
      </x:c>
      <x:c r="M66" s="36"/>
      <x:c r="N66" t="n">
        <x:v>0</x:v>
      </x:c>
      <x:c r="O66" t="str">
        <x:v>Em dia</x:v>
      </x:c>
      <x:c r="P66" t="n">
        <x:v>6</x:v>
      </x:c>
      <x:c r="Q66" t="n">
        <x:v>42</x:v>
      </x:c>
      <x:c r="R66" t="n">
        <x:v>4</x:v>
      </x:c>
      <x:c r="S66" s="32" t="n">
        <x:v>4200</x:v>
      </x:c>
      <x:c r="T66" s="34" t="n">
        <x:f>IF(S66=0,0,(G66-S66)/S66)</x:f>
        <x:v>-0.047619047619047616</x:v>
      </x:c>
      <x:c r="U66" t="n">
        <x:v>1</x:v>
      </x:c>
      <x:c r="V66" t="n">
        <x:v>0</x:v>
      </x:c>
      <x:c r="W66" s="32" t="n">
        <x:f>IF(F66="Vago",G66,0)</x:f>
        <x:v>0</x:v>
      </x:c>
      <x:c r="X66" s="32" t="n">
        <x:f>I66*12</x:f>
        <x:v>3840</x:v>
      </x:c>
    </x:row>
    <x:row r="67">
      <x:c r="A67" t="str">
        <x:v>IMV-0066</x:v>
      </x:c>
      <x:c r="B67" t="str">
        <x:v>PROP-003</x:v>
      </x:c>
      <x:c r="C67" t="str">
        <x:v>Jundiaí</x:v>
      </x:c>
      <x:c r="D67" t="str">
        <x:v>Medeiros</x:v>
      </x:c>
      <x:c r="E67" t="str">
        <x:v>Casa</x:v>
      </x:c>
      <x:c r="F67" t="str">
        <x:v>Ocupado</x:v>
      </x:c>
      <x:c r="G67" s="32" t="n">
        <x:v>4550</x:v>
      </x:c>
      <x:c r="H67" s="34" t="n">
        <x:v>0.12</x:v>
      </x:c>
      <x:c r="I67" s="32" t="n">
        <x:f>G67*H67</x:f>
        <x:v>546</x:v>
      </x:c>
      <x:c r="J67" s="36" t="n">
        <x:v>45529</x:v>
      </x:c>
      <x:c r="K67" s="36" t="n">
        <x:v>46624</x:v>
      </x:c>
      <x:c r="L67" s="36" t="n">
        <x:v>45529</x:v>
      </x:c>
      <x:c r="M67" s="36"/>
      <x:c r="N67" t="n">
        <x:v>0</x:v>
      </x:c>
      <x:c r="O67" t="str">
        <x:v>Atraso recorrente</x:v>
      </x:c>
      <x:c r="P67" t="n">
        <x:v>6</x:v>
      </x:c>
      <x:c r="Q67" t="n">
        <x:v>106</x:v>
      </x:c>
      <x:c r="R67" t="n">
        <x:v>4</x:v>
      </x:c>
      <x:c r="S67" s="32" t="n">
        <x:v>4550</x:v>
      </x:c>
      <x:c r="T67" s="34" t="n">
        <x:f>IF(S67=0,0,(G67-S67)/S67)</x:f>
        <x:v>0</x:v>
      </x:c>
      <x:c r="U67" t="n">
        <x:v>0</x:v>
      </x:c>
      <x:c r="V67" t="n">
        <x:v>0</x:v>
      </x:c>
      <x:c r="W67" s="32" t="n">
        <x:f>IF(F67="Vago",G67,0)</x:f>
        <x:v>0</x:v>
      </x:c>
      <x:c r="X67" s="32" t="n">
        <x:f>I67*12</x:f>
        <x:v>6552</x:v>
      </x:c>
    </x:row>
    <x:row r="68">
      <x:c r="A68" t="str">
        <x:v>IMV-0067</x:v>
      </x:c>
      <x:c r="B68" t="str">
        <x:v>PROP-007</x:v>
      </x:c>
      <x:c r="C68" t="str">
        <x:v>Valinhos</x:v>
      </x:c>
      <x:c r="D68" t="str">
        <x:v>Centro</x:v>
      </x:c>
      <x:c r="E68" t="str">
        <x:v>Apartamento</x:v>
      </x:c>
      <x:c r="F68" t="str">
        <x:v>Ocupado</x:v>
      </x:c>
      <x:c r="G68" s="32" t="n">
        <x:v>1400</x:v>
      </x:c>
      <x:c r="H68" s="34" t="n">
        <x:v>0.09</x:v>
      </x:c>
      <x:c r="I68" s="32" t="n">
        <x:f>G68*H68</x:f>
        <x:v>126</x:v>
      </x:c>
      <x:c r="J68" s="36" t="n">
        <x:v>46128</x:v>
      </x:c>
      <x:c r="K68" s="36" t="n">
        <x:v>46493</x:v>
      </x:c>
      <x:c r="L68" s="36" t="n">
        <x:v>46128</x:v>
      </x:c>
      <x:c r="M68" s="36"/>
      <x:c r="N68" t="n">
        <x:v>0</x:v>
      </x:c>
      <x:c r="O68" t="str">
        <x:v>Atraso ocasional</x:v>
      </x:c>
      <x:c r="P68" t="n">
        <x:v>4</x:v>
      </x:c>
      <x:c r="Q68" t="n">
        <x:v>119</x:v>
      </x:c>
      <x:c r="R68" t="n">
        <x:v>4</x:v>
      </x:c>
      <x:c r="S68" s="32" t="n">
        <x:v>1300</x:v>
      </x:c>
      <x:c r="T68" s="34" t="n">
        <x:f>IF(S68=0,0,(G68-S68)/S68)</x:f>
        <x:v>0.07692307692307693</x:v>
      </x:c>
      <x:c r="U68" t="n">
        <x:v>1</x:v>
      </x:c>
      <x:c r="V68" t="n">
        <x:v>0</x:v>
      </x:c>
      <x:c r="W68" s="32" t="n">
        <x:f>IF(F68="Vago",G68,0)</x:f>
        <x:v>0</x:v>
      </x:c>
      <x:c r="X68" s="32" t="n">
        <x:f>I68*12</x:f>
        <x:v>1512</x:v>
      </x:c>
    </x:row>
    <x:row r="69">
      <x:c r="A69" t="str">
        <x:v>IMV-0068</x:v>
      </x:c>
      <x:c r="B69" t="str">
        <x:v>PROP-004</x:v>
      </x:c>
      <x:c r="C69" t="str">
        <x:v>Sorocaba</x:v>
      </x:c>
      <x:c r="D69" t="str">
        <x:v>Éden</x:v>
      </x:c>
      <x:c r="E69" t="str">
        <x:v>Apartamento</x:v>
      </x:c>
      <x:c r="F69" t="str">
        <x:v>Ocupado</x:v>
      </x:c>
      <x:c r="G69" s="32" t="n">
        <x:v>4550</x:v>
      </x:c>
      <x:c r="H69" s="34" t="n">
        <x:v>0.12</x:v>
      </x:c>
      <x:c r="I69" s="32" t="n">
        <x:f>G69*H69</x:f>
        <x:v>546</x:v>
      </x:c>
      <x:c r="J69" s="36" t="n">
        <x:v>45861</x:v>
      </x:c>
      <x:c r="K69" s="36" t="n">
        <x:v>46956</x:v>
      </x:c>
      <x:c r="L69" s="36" t="n">
        <x:v>46226</x:v>
      </x:c>
      <x:c r="M69" s="36"/>
      <x:c r="N69" t="n">
        <x:v>0</x:v>
      </x:c>
      <x:c r="O69" t="str">
        <x:v>Em dia</x:v>
      </x:c>
      <x:c r="P69" t="n">
        <x:v>1</x:v>
      </x:c>
      <x:c r="Q69" t="n">
        <x:v>154</x:v>
      </x:c>
      <x:c r="R69" t="n">
        <x:v>6</x:v>
      </x:c>
      <x:c r="S69" s="32" t="n">
        <x:v>5400</x:v>
      </x:c>
      <x:c r="T69" s="34" t="n">
        <x:f>IF(S69=0,0,(G69-S69)/S69)</x:f>
        <x:v>-0.1574074074074074</x:v>
      </x:c>
      <x:c r="U69" t="n">
        <x:v>0</x:v>
      </x:c>
      <x:c r="V69" t="n">
        <x:v>0</x:v>
      </x:c>
      <x:c r="W69" s="32" t="n">
        <x:f>IF(F69="Vago",G69,0)</x:f>
        <x:v>0</x:v>
      </x:c>
      <x:c r="X69" s="32" t="n">
        <x:f>I69*12</x:f>
        <x:v>6552</x:v>
      </x:c>
    </x:row>
    <x:row r="70">
      <x:c r="A70" t="str">
        <x:v>IMV-0069</x:v>
      </x:c>
      <x:c r="B70" t="str">
        <x:v>PROP-009</x:v>
      </x:c>
      <x:c r="C70" t="str">
        <x:v>Campinas</x:v>
      </x:c>
      <x:c r="D70" t="str">
        <x:v>Taquaral</x:v>
      </x:c>
      <x:c r="E70" t="str">
        <x:v>Casa</x:v>
      </x:c>
      <x:c r="F70" t="str">
        <x:v>Ocupado</x:v>
      </x:c>
      <x:c r="G70" s="32" t="n">
        <x:v>1400</x:v>
      </x:c>
      <x:c r="H70" s="34" t="n">
        <x:v>0.1</x:v>
      </x:c>
      <x:c r="I70" s="32" t="n">
        <x:f>G70*H70</x:f>
        <x:v>140</x:v>
      </x:c>
      <x:c r="J70" s="36" t="n">
        <x:v>45410</x:v>
      </x:c>
      <x:c r="K70" s="36" t="n">
        <x:v>46390</x:v>
      </x:c>
      <x:c r="L70" s="36" t="n">
        <x:v>45775</x:v>
      </x:c>
      <x:c r="M70" s="36"/>
      <x:c r="N70" t="n">
        <x:v>0</x:v>
      </x:c>
      <x:c r="O70" t="str">
        <x:v>Em dia</x:v>
      </x:c>
      <x:c r="P70" t="n">
        <x:v>7</x:v>
      </x:c>
      <x:c r="Q70" t="n">
        <x:v>52</x:v>
      </x:c>
      <x:c r="R70" t="n">
        <x:v>1</x:v>
      </x:c>
      <x:c r="S70" s="32" t="n">
        <x:v>1350</x:v>
      </x:c>
      <x:c r="T70" s="34" t="n">
        <x:f>IF(S70=0,0,(G70-S70)/S70)</x:f>
        <x:v>0.037037037037037035</x:v>
      </x:c>
      <x:c r="U70" t="n">
        <x:v>0</x:v>
      </x:c>
      <x:c r="V70" t="n">
        <x:v>0</x:v>
      </x:c>
      <x:c r="W70" s="32" t="n">
        <x:f>IF(F70="Vago",G70,0)</x:f>
        <x:v>0</x:v>
      </x:c>
      <x:c r="X70" s="32" t="n">
        <x:f>I70*12</x:f>
        <x:v>1680</x:v>
      </x:c>
    </x:row>
    <x:row r="71">
      <x:c r="A71" t="str">
        <x:v>IMV-0070</x:v>
      </x:c>
      <x:c r="B71" t="str">
        <x:v>PROP-004</x:v>
      </x:c>
      <x:c r="C71" t="str">
        <x:v>Campinas</x:v>
      </x:c>
      <x:c r="D71" t="str">
        <x:v>Barão Geraldo</x:v>
      </x:c>
      <x:c r="E71" t="str">
        <x:v>Apartamento</x:v>
      </x:c>
      <x:c r="F71" t="str">
        <x:v>Ocupado</x:v>
      </x:c>
      <x:c r="G71" s="32" t="n">
        <x:v>5150</x:v>
      </x:c>
      <x:c r="H71" s="34" t="n">
        <x:v>0.08</x:v>
      </x:c>
      <x:c r="I71" s="32" t="n">
        <x:f>G71*H71</x:f>
        <x:v>412</x:v>
      </x:c>
      <x:c r="J71" s="36" t="n">
        <x:v>45929</x:v>
      </x:c>
      <x:c r="K71" s="36" t="n">
        <x:v>46659</x:v>
      </x:c>
      <x:c r="L71" s="36" t="n">
        <x:v>45929</x:v>
      </x:c>
      <x:c r="M71" s="36"/>
      <x:c r="N71" t="n">
        <x:v>0</x:v>
      </x:c>
      <x:c r="O71" t="str">
        <x:v>Em dia</x:v>
      </x:c>
      <x:c r="P71" t="n">
        <x:v>0</x:v>
      </x:c>
      <x:c r="Q71" t="n">
        <x:v>88</x:v>
      </x:c>
      <x:c r="R71" t="n">
        <x:v>6</x:v>
      </x:c>
      <x:c r="S71" s="32" t="n">
        <x:v>4750</x:v>
      </x:c>
      <x:c r="T71" s="34" t="n">
        <x:f>IF(S71=0,0,(G71-S71)/S71)</x:f>
        <x:v>0.08421052631578947</x:v>
      </x:c>
      <x:c r="U71" t="n">
        <x:v>2</x:v>
      </x:c>
      <x:c r="V71" t="n">
        <x:v>0</x:v>
      </x:c>
      <x:c r="W71" s="32" t="n">
        <x:f>IF(F71="Vago",G71,0)</x:f>
        <x:v>0</x:v>
      </x:c>
      <x:c r="X71" s="32" t="n">
        <x:f>I71*12</x:f>
        <x:v>4944</x:v>
      </x:c>
    </x:row>
    <x:row r="72">
      <x:c r="A72" t="str">
        <x:v>IMV-0071</x:v>
      </x:c>
      <x:c r="B72" t="str">
        <x:v>PROP-010</x:v>
      </x:c>
      <x:c r="C72" t="str">
        <x:v>Valinhos</x:v>
      </x:c>
      <x:c r="D72" t="str">
        <x:v>Centro</x:v>
      </x:c>
      <x:c r="E72" t="str">
        <x:v>Apartamento</x:v>
      </x:c>
      <x:c r="F72" t="str">
        <x:v>Vago</x:v>
      </x:c>
      <x:c r="G72" s="32" t="n">
        <x:v>5700</x:v>
      </x:c>
      <x:c r="H72" s="34" t="n">
        <x:v>0.08</x:v>
      </x:c>
      <x:c r="I72" s="32" t="n">
        <x:f>G72*H72</x:f>
        <x:v>456</x:v>
      </x:c>
      <x:c r="J72" s="36"/>
      <x:c r="K72" s="36"/>
      <x:c r="L72" s="36"/>
      <x:c r="M72" s="36" t="n">
        <x:v>46222</x:v>
      </x:c>
      <x:c r="N72" t="n">
        <x:v>15</x:v>
      </x:c>
      <x:c r="O72" t="str">
        <x:v>Sem inquilino</x:v>
      </x:c>
      <x:c r="P72" t="n">
        <x:v>6</x:v>
      </x:c>
      <x:c r="Q72" t="n">
        <x:v>30</x:v>
      </x:c>
      <x:c r="R72" t="n">
        <x:v>2</x:v>
      </x:c>
      <x:c r="S72" s="32" t="n">
        <x:v>6550</x:v>
      </x:c>
      <x:c r="T72" s="34" t="n">
        <x:f>IF(S72=0,0,(G72-S72)/S72)</x:f>
        <x:v>-0.1297709923664122</x:v>
      </x:c>
      <x:c r="U72" t="n">
        <x:v>6</x:v>
      </x:c>
      <x:c r="V72" t="n">
        <x:v>2</x:v>
      </x:c>
      <x:c r="W72" s="32" t="n">
        <x:f>IF(F72="Vago",G72,0)</x:f>
        <x:v>5700</x:v>
      </x:c>
      <x:c r="X72" s="32" t="n">
        <x:f>I72*12</x:f>
        <x:v>5472</x:v>
      </x:c>
    </x:row>
    <x:row r="73">
      <x:c r="A73" t="str">
        <x:v>IMV-0072</x:v>
      </x:c>
      <x:c r="B73" t="str">
        <x:v>PROP-003</x:v>
      </x:c>
      <x:c r="C73" t="str">
        <x:v>Indaiatuba</x:v>
      </x:c>
      <x:c r="D73" t="str">
        <x:v>Jardim Morada do Sol</x:v>
      </x:c>
      <x:c r="E73" t="str">
        <x:v>Sala Comercial</x:v>
      </x:c>
      <x:c r="F73" t="str">
        <x:v>Ocupado</x:v>
      </x:c>
      <x:c r="G73" s="32" t="n">
        <x:v>3000</x:v>
      </x:c>
      <x:c r="H73" s="34" t="n">
        <x:v>0.09</x:v>
      </x:c>
      <x:c r="I73" s="32" t="n">
        <x:f>G73*H73</x:f>
        <x:v>270</x:v>
      </x:c>
      <x:c r="J73" s="36" t="n">
        <x:v>45342</x:v>
      </x:c>
      <x:c r="K73" s="36" t="n">
        <x:v>46397</x:v>
      </x:c>
      <x:c r="L73" s="36" t="n">
        <x:v>45707</x:v>
      </x:c>
      <x:c r="M73" s="36"/>
      <x:c r="N73" t="n">
        <x:v>0</x:v>
      </x:c>
      <x:c r="O73" t="str">
        <x:v>Atraso ocasional</x:v>
      </x:c>
      <x:c r="P73" t="n">
        <x:v>2</x:v>
      </x:c>
      <x:c r="Q73" t="n">
        <x:v>130</x:v>
      </x:c>
      <x:c r="R73" t="n">
        <x:v>4</x:v>
      </x:c>
      <x:c r="S73" s="32" t="n">
        <x:v>2650</x:v>
      </x:c>
      <x:c r="T73" s="34" t="n">
        <x:f>IF(S73=0,0,(G73-S73)/S73)</x:f>
        <x:v>0.1320754716981132</x:v>
      </x:c>
      <x:c r="U73" t="n">
        <x:v>3</x:v>
      </x:c>
      <x:c r="V73" t="n">
        <x:v>0</x:v>
      </x:c>
      <x:c r="W73" s="32" t="n">
        <x:f>IF(F73="Vago",G73,0)</x:f>
        <x:v>0</x:v>
      </x:c>
      <x:c r="X73" s="32" t="n">
        <x:f>I73*12</x:f>
        <x:v>3240</x:v>
      </x:c>
    </x:row>
    <x:row r="74">
      <x:c r="A74" t="str">
        <x:v>IMV-0073</x:v>
      </x:c>
      <x:c r="B74" t="str">
        <x:v>PROP-011</x:v>
      </x:c>
      <x:c r="C74" t="str">
        <x:v>Campinas</x:v>
      </x:c>
      <x:c r="D74" t="str">
        <x:v>Taquaral</x:v>
      </x:c>
      <x:c r="E74" t="str">
        <x:v>Apartamento</x:v>
      </x:c>
      <x:c r="F74" t="str">
        <x:v>Ocupado</x:v>
      </x:c>
      <x:c r="G74" s="32" t="n">
        <x:v>2050</x:v>
      </x:c>
      <x:c r="H74" s="34" t="n">
        <x:v>0.12</x:v>
      </x:c>
      <x:c r="I74" s="32" t="n">
        <x:f>G74*H74</x:f>
        <x:v>246</x:v>
      </x:c>
      <x:c r="J74" s="36" t="n">
        <x:v>45580</x:v>
      </x:c>
      <x:c r="K74" s="36" t="n">
        <x:v>46310</x:v>
      </x:c>
      <x:c r="L74" s="36" t="n">
        <x:v>45580</x:v>
      </x:c>
      <x:c r="M74" s="36"/>
      <x:c r="N74" t="n">
        <x:v>0</x:v>
      </x:c>
      <x:c r="O74" t="str">
        <x:v>Atraso recorrente</x:v>
      </x:c>
      <x:c r="P74" t="n">
        <x:v>3</x:v>
      </x:c>
      <x:c r="Q74" t="n">
        <x:v>67</x:v>
      </x:c>
      <x:c r="R74" t="n">
        <x:v>3</x:v>
      </x:c>
      <x:c r="S74" s="32" t="n">
        <x:v>2200</x:v>
      </x:c>
      <x:c r="T74" s="34" t="n">
        <x:f>IF(S74=0,0,(G74-S74)/S74)</x:f>
        <x:v>-0.06818181818181818</x:v>
      </x:c>
      <x:c r="U74" t="n">
        <x:v>2</x:v>
      </x:c>
      <x:c r="V74" t="n">
        <x:v>0</x:v>
      </x:c>
      <x:c r="W74" s="32" t="n">
        <x:f>IF(F74="Vago",G74,0)</x:f>
        <x:v>0</x:v>
      </x:c>
      <x:c r="X74" s="32" t="n">
        <x:f>I74*12</x:f>
        <x:v>2952</x:v>
      </x:c>
    </x:row>
    <x:row r="75">
      <x:c r="A75" t="str">
        <x:v>IMV-0074</x:v>
      </x:c>
      <x:c r="B75" t="str">
        <x:v>PROP-009</x:v>
      </x:c>
      <x:c r="C75" t="str">
        <x:v>Indaiatuba</x:v>
      </x:c>
      <x:c r="D75" t="str">
        <x:v>Jardim Morada do Sol</x:v>
      </x:c>
      <x:c r="E75" t="str">
        <x:v>Apartamento</x:v>
      </x:c>
      <x:c r="F75" t="str">
        <x:v>Ocupado</x:v>
      </x:c>
      <x:c r="G75" s="32" t="n">
        <x:v>5950</x:v>
      </x:c>
      <x:c r="H75" s="34" t="n">
        <x:v>0.08</x:v>
      </x:c>
      <x:c r="I75" s="32" t="n">
        <x:f>G75*H75</x:f>
        <x:v>476</x:v>
      </x:c>
      <x:c r="J75" s="36" t="n">
        <x:v>45182</x:v>
      </x:c>
      <x:c r="K75" s="36" t="n">
        <x:v>46440</x:v>
      </x:c>
      <x:c r="L75" s="36" t="n">
        <x:v>45182</x:v>
      </x:c>
      <x:c r="M75" s="36"/>
      <x:c r="N75" t="n">
        <x:v>0</x:v>
      </x:c>
      <x:c r="O75" t="str">
        <x:v>Em dia</x:v>
      </x:c>
      <x:c r="P75" t="n">
        <x:v>6</x:v>
      </x:c>
      <x:c r="Q75" t="n">
        <x:v>51</x:v>
      </x:c>
      <x:c r="R75" t="n">
        <x:v>1</x:v>
      </x:c>
      <x:c r="S75" s="32" t="n">
        <x:v>5550</x:v>
      </x:c>
      <x:c r="T75" s="34" t="n">
        <x:f>IF(S75=0,0,(G75-S75)/S75)</x:f>
        <x:v>0.07207207207207207</x:v>
      </x:c>
      <x:c r="U75" t="n">
        <x:v>3</x:v>
      </x:c>
      <x:c r="V75" t="n">
        <x:v>0</x:v>
      </x:c>
      <x:c r="W75" s="32" t="n">
        <x:f>IF(F75="Vago",G75,0)</x:f>
        <x:v>0</x:v>
      </x:c>
      <x:c r="X75" s="32" t="n">
        <x:f>I75*12</x:f>
        <x:v>5712</x:v>
      </x:c>
    </x:row>
    <x:row r="76">
      <x:c r="A76" t="str">
        <x:v>IMV-0075</x:v>
      </x:c>
      <x:c r="B76" t="str">
        <x:v>PROP-007</x:v>
      </x:c>
      <x:c r="C76" t="str">
        <x:v>Sorocaba</x:v>
      </x:c>
      <x:c r="D76" t="str">
        <x:v>Vila Hortência</x:v>
      </x:c>
      <x:c r="E76" t="str">
        <x:v>Sala Comercial</x:v>
      </x:c>
      <x:c r="F76" t="str">
        <x:v>Vago</x:v>
      </x:c>
      <x:c r="G76" s="32" t="n">
        <x:v>3200</x:v>
      </x:c>
      <x:c r="H76" s="34" t="n">
        <x:v>0.11</x:v>
      </x:c>
      <x:c r="I76" s="32" t="n">
        <x:f>G76*H76</x:f>
        <x:v>352</x:v>
      </x:c>
      <x:c r="J76" s="36"/>
      <x:c r="K76" s="36"/>
      <x:c r="L76" s="36"/>
      <x:c r="M76" s="36" t="n">
        <x:v>46083</x:v>
      </x:c>
      <x:c r="N76" t="n">
        <x:v>154</x:v>
      </x:c>
      <x:c r="O76" t="str">
        <x:v>Sem inquilino</x:v>
      </x:c>
      <x:c r="P76" t="n">
        <x:v>2</x:v>
      </x:c>
      <x:c r="Q76" t="n">
        <x:v>142</x:v>
      </x:c>
      <x:c r="R76" t="n">
        <x:v>4</x:v>
      </x:c>
      <x:c r="S76" s="32" t="n">
        <x:v>3000</x:v>
      </x:c>
      <x:c r="T76" s="34" t="n">
        <x:f>IF(S76=0,0,(G76-S76)/S76)</x:f>
        <x:v>0.06666666666666667</x:v>
      </x:c>
      <x:c r="U76" t="n">
        <x:v>3</x:v>
      </x:c>
      <x:c r="V76" t="n">
        <x:v>2</x:v>
      </x:c>
      <x:c r="W76" s="32" t="n">
        <x:f>IF(F76="Vago",G76,0)</x:f>
        <x:v>3200</x:v>
      </x:c>
      <x:c r="X76" s="32" t="n">
        <x:f>I76*12</x:f>
        <x:v>4224</x:v>
      </x:c>
    </x:row>
    <x:row r="77">
      <x:c r="A77" t="str">
        <x:v>IMV-0076</x:v>
      </x:c>
      <x:c r="B77" t="str">
        <x:v>PROP-013</x:v>
      </x:c>
      <x:c r="C77" t="str">
        <x:v>Sorocaba</x:v>
      </x:c>
      <x:c r="D77" t="str">
        <x:v>Além Ponte</x:v>
      </x:c>
      <x:c r="E77" t="str">
        <x:v>Sala Comercial</x:v>
      </x:c>
      <x:c r="F77" t="str">
        <x:v>Ocupado</x:v>
      </x:c>
      <x:c r="G77" s="32" t="n">
        <x:v>6000</x:v>
      </x:c>
      <x:c r="H77" s="34" t="n">
        <x:v>0.1</x:v>
      </x:c>
      <x:c r="I77" s="32" t="n">
        <x:f>G77*H77</x:f>
        <x:v>600</x:v>
      </x:c>
      <x:c r="J77" s="36" t="n">
        <x:v>44792</x:v>
      </x:c>
      <x:c r="K77" s="36" t="n">
        <x:v>46276</x:v>
      </x:c>
      <x:c r="L77" s="36" t="n">
        <x:v>45522</x:v>
      </x:c>
      <x:c r="M77" s="36"/>
      <x:c r="N77" t="n">
        <x:v>0</x:v>
      </x:c>
      <x:c r="O77" t="str">
        <x:v>Em dia</x:v>
      </x:c>
      <x:c r="P77" t="n">
        <x:v>7</x:v>
      </x:c>
      <x:c r="Q77" t="n">
        <x:v>10</x:v>
      </x:c>
      <x:c r="R77" t="n">
        <x:v>3</x:v>
      </x:c>
      <x:c r="S77" s="32" t="n">
        <x:v>5600</x:v>
      </x:c>
      <x:c r="T77" s="34" t="n">
        <x:f>IF(S77=0,0,(G77-S77)/S77)</x:f>
        <x:v>0.07142857142857142</x:v>
      </x:c>
      <x:c r="U77" t="n">
        <x:v>2</x:v>
      </x:c>
      <x:c r="V77" t="n">
        <x:v>0</x:v>
      </x:c>
      <x:c r="W77" s="32" t="n">
        <x:f>IF(F77="Vago",G77,0)</x:f>
        <x:v>0</x:v>
      </x:c>
      <x:c r="X77" s="32" t="n">
        <x:f>I77*12</x:f>
        <x:v>7200</x:v>
      </x:c>
    </x:row>
    <x:row r="78">
      <x:c r="A78" t="str">
        <x:v>IMV-0077</x:v>
      </x:c>
      <x:c r="B78" t="str">
        <x:v>PROP-013</x:v>
      </x:c>
      <x:c r="C78" t="str">
        <x:v>Valinhos</x:v>
      </x:c>
      <x:c r="D78" t="str">
        <x:v>Jardim Paiquerê</x:v>
      </x:c>
      <x:c r="E78" t="str">
        <x:v>Sala Comercial</x:v>
      </x:c>
      <x:c r="F78" t="str">
        <x:v>Ocupado</x:v>
      </x:c>
      <x:c r="G78" s="32" t="n">
        <x:v>6200</x:v>
      </x:c>
      <x:c r="H78" s="34" t="n">
        <x:v>0.09</x:v>
      </x:c>
      <x:c r="I78" s="32" t="n">
        <x:f>G78*H78</x:f>
        <x:v>558</x:v>
      </x:c>
      <x:c r="J78" s="36" t="n">
        <x:v>45595</x:v>
      </x:c>
      <x:c r="K78" s="36" t="n">
        <x:v>46325</x:v>
      </x:c>
      <x:c r="L78" s="36" t="n">
        <x:v>45960</x:v>
      </x:c>
      <x:c r="M78" s="36"/>
      <x:c r="N78" t="n">
        <x:v>0</x:v>
      </x:c>
      <x:c r="O78" t="str">
        <x:v>Atraso ocasional</x:v>
      </x:c>
      <x:c r="P78" t="n">
        <x:v>5</x:v>
      </x:c>
      <x:c r="Q78" t="n">
        <x:v>123</x:v>
      </x:c>
      <x:c r="R78" t="n">
        <x:v>3</x:v>
      </x:c>
      <x:c r="S78" s="32" t="n">
        <x:v>5150</x:v>
      </x:c>
      <x:c r="T78" s="34" t="n">
        <x:f>IF(S78=0,0,(G78-S78)/S78)</x:f>
        <x:v>0.20388349514563106</x:v>
      </x:c>
      <x:c r="U78" t="n">
        <x:v>2</x:v>
      </x:c>
      <x:c r="V78" t="n">
        <x:v>0</x:v>
      </x:c>
      <x:c r="W78" s="32" t="n">
        <x:f>IF(F78="Vago",G78,0)</x:f>
        <x:v>0</x:v>
      </x:c>
      <x:c r="X78" s="32" t="n">
        <x:f>I78*12</x:f>
        <x:v>6696</x:v>
      </x:c>
    </x:row>
    <x:row r="79">
      <x:c r="A79" t="str">
        <x:v>IMV-0078</x:v>
      </x:c>
      <x:c r="B79" t="str">
        <x:v>PROP-010</x:v>
      </x:c>
      <x:c r="C79" t="str">
        <x:v>Jundiaí</x:v>
      </x:c>
      <x:c r="D79" t="str">
        <x:v>Eloy Chaves</x:v>
      </x:c>
      <x:c r="E79" t="str">
        <x:v>Apartamento</x:v>
      </x:c>
      <x:c r="F79" t="str">
        <x:v>Vago</x:v>
      </x:c>
      <x:c r="G79" s="32" t="n">
        <x:v>2600</x:v>
      </x:c>
      <x:c r="H79" s="34" t="n">
        <x:v>0.11</x:v>
      </x:c>
      <x:c r="I79" s="32" t="n">
        <x:f>G79*H79</x:f>
        <x:v>286</x:v>
      </x:c>
      <x:c r="J79" s="36"/>
      <x:c r="K79" s="36"/>
      <x:c r="L79" s="36"/>
      <x:c r="M79" s="36" t="n">
        <x:v>46179</x:v>
      </x:c>
      <x:c r="N79" t="n">
        <x:v>58</x:v>
      </x:c>
      <x:c r="O79" t="str">
        <x:v>Sem inquilino</x:v>
      </x:c>
      <x:c r="P79" t="n">
        <x:v>1</x:v>
      </x:c>
      <x:c r="Q79" t="n">
        <x:v>70</x:v>
      </x:c>
      <x:c r="R79" t="n">
        <x:v>2</x:v>
      </x:c>
      <x:c r="S79" s="32" t="n">
        <x:v>2300</x:v>
      </x:c>
      <x:c r="T79" s="34" t="n">
        <x:f>IF(S79=0,0,(G79-S79)/S79)</x:f>
        <x:v>0.13043478260869565</x:v>
      </x:c>
      <x:c r="U79" t="n">
        <x:v>6</x:v>
      </x:c>
      <x:c r="V79" t="n">
        <x:v>1</x:v>
      </x:c>
      <x:c r="W79" s="32" t="n">
        <x:f>IF(F79="Vago",G79,0)</x:f>
        <x:v>2600</x:v>
      </x:c>
      <x:c r="X79" s="32" t="n">
        <x:f>I79*12</x:f>
        <x:v>3432</x:v>
      </x:c>
    </x:row>
    <x:row r="80">
      <x:c r="A80" t="str">
        <x:v>IMV-0079</x:v>
      </x:c>
      <x:c r="B80" t="str">
        <x:v>PROP-004</x:v>
      </x:c>
      <x:c r="C80" t="str">
        <x:v>Valinhos</x:v>
      </x:c>
      <x:c r="D80" t="str">
        <x:v>Centro</x:v>
      </x:c>
      <x:c r="E80" t="str">
        <x:v>Apartamento</x:v>
      </x:c>
      <x:c r="F80" t="str">
        <x:v>Ocupado</x:v>
      </x:c>
      <x:c r="G80" s="32" t="n">
        <x:v>1150</x:v>
      </x:c>
      <x:c r="H80" s="34" t="n">
        <x:v>0.09</x:v>
      </x:c>
      <x:c r="I80" s="32" t="n">
        <x:f>G80*H80</x:f>
        <x:v>103.5</x:v>
      </x:c>
      <x:c r="J80" s="36" t="n">
        <x:v>45746</x:v>
      </x:c>
      <x:c r="K80" s="36" t="n">
        <x:v>46476</x:v>
      </x:c>
      <x:c r="L80" s="36" t="n">
        <x:v>46111</x:v>
      </x:c>
      <x:c r="M80" s="36"/>
      <x:c r="N80" t="n">
        <x:v>0</x:v>
      </x:c>
      <x:c r="O80" t="str">
        <x:v>Atraso recorrente</x:v>
      </x:c>
      <x:c r="P80" t="n">
        <x:v>1</x:v>
      </x:c>
      <x:c r="Q80" t="n">
        <x:v>68</x:v>
      </x:c>
      <x:c r="R80" t="n">
        <x:v>6</x:v>
      </x:c>
      <x:c r="S80" s="32" t="n">
        <x:v>1050</x:v>
      </x:c>
      <x:c r="T80" s="34" t="n">
        <x:f>IF(S80=0,0,(G80-S80)/S80)</x:f>
        <x:v>0.09523809523809523</x:v>
      </x:c>
      <x:c r="U80" t="n">
        <x:v>0</x:v>
      </x:c>
      <x:c r="V80" t="n">
        <x:v>0</x:v>
      </x:c>
      <x:c r="W80" s="32" t="n">
        <x:f>IF(F80="Vago",G80,0)</x:f>
        <x:v>0</x:v>
      </x:c>
      <x:c r="X80" s="32" t="n">
        <x:f>I80*12</x:f>
        <x:v>1242</x:v>
      </x:c>
    </x:row>
    <x:row r="81">
      <x:c r="A81" t="str">
        <x:v>IMV-0080</x:v>
      </x:c>
      <x:c r="B81" t="str">
        <x:v>PROP-015</x:v>
      </x:c>
      <x:c r="C81" t="str">
        <x:v>Valinhos</x:v>
      </x:c>
      <x:c r="D81" t="str">
        <x:v>Centro</x:v>
      </x:c>
      <x:c r="E81" t="str">
        <x:v>Apartamento</x:v>
      </x:c>
      <x:c r="F81" t="str">
        <x:v>Ocupado</x:v>
      </x:c>
      <x:c r="G81" s="32" t="n">
        <x:v>2400</x:v>
      </x:c>
      <x:c r="H81" s="34" t="n">
        <x:v>0.1</x:v>
      </x:c>
      <x:c r="I81" s="32" t="n">
        <x:f>G81*H81</x:f>
        <x:v>240</x:v>
      </x:c>
      <x:c r="J81" s="36" t="n">
        <x:v>44929</x:v>
      </x:c>
      <x:c r="K81" s="36" t="n">
        <x:v>46458</x:v>
      </x:c>
      <x:c r="L81" s="36" t="n">
        <x:v>45294</x:v>
      </x:c>
      <x:c r="M81" s="36"/>
      <x:c r="N81" t="n">
        <x:v>0</x:v>
      </x:c>
      <x:c r="O81" t="str">
        <x:v>Em dia</x:v>
      </x:c>
      <x:c r="P81" t="n">
        <x:v>5</x:v>
      </x:c>
      <x:c r="Q81" t="n">
        <x:v>140</x:v>
      </x:c>
      <x:c r="R81" t="n">
        <x:v>1</x:v>
      </x:c>
      <x:c r="S81" s="32" t="n">
        <x:v>2200</x:v>
      </x:c>
      <x:c r="T81" s="34" t="n">
        <x:f>IF(S81=0,0,(G81-S81)/S81)</x:f>
        <x:v>0.09090909090909091</x:v>
      </x:c>
      <x:c r="U81" t="n">
        <x:v>1</x:v>
      </x:c>
      <x:c r="V81" t="n">
        <x:v>0</x:v>
      </x:c>
      <x:c r="W81" s="32" t="n">
        <x:f>IF(F81="Vago",G81,0)</x:f>
        <x:v>0</x:v>
      </x:c>
      <x:c r="X81" s="32" t="n">
        <x:f>I81*12</x:f>
        <x:v>2880</x:v>
      </x:c>
    </x:row>
  </x:sheetData>
  <x:conditionalFormatting sqref="N2:N81">
    <x:cfRule type="dataBar" priority="1">
      <x:dataBar>
        <x:cfvo type="min"/>
        <x:cfvo type="max"/>
        <x:color rgb="FFD97706"/>
      </x:dataBar>
      <x:extLst>
        <x:ext xmlns:x14="http://schemas.microsoft.com/office/spreadsheetml/2009/9/main" uri="{B025F937-C7B1-47D3-B67F-A62EFF666E3E}">
          <x14:id>{353BF953-431A-43C2-4DE1-47FFB4972ADB}</x14:id>
        </x:ext>
      </x:extLst>
    </x:cfRule>
  </x:conditionalFormatting>
  <x:conditionalFormatting sqref="T2:T81">
    <x:cfRule type="colorScale" priority="2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b705fec693524125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353BF953-431A-43C2-4DE1-47FFB4972ADB}">
            <x14:dataBar gradient="1">
              <x14:cfvo type="min"/>
              <x14:cfvo type="max"/>
              <x14:fillColor rgb="FFD97706"/>
            </x14:dataBar>
          </x14:cfRule>
          <xm:sqref>N2:N81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34" customHeight="1">
      <x:c r="A1" s="26" t="str">
        <x:v>ID_Pagamento</x:v>
      </x:c>
      <x:c r="B1" s="26" t="str">
        <x:v>ID_Imovel</x:v>
      </x:c>
      <x:c r="C1" s="26" t="str">
        <x:v>Competencia</x:v>
      </x:c>
      <x:c r="D1" s="26" t="str">
        <x:v>Valor_Cobrado</x:v>
      </x:c>
      <x:c r="E1" s="26" t="str">
        <x:v>Valor_Pago</x:v>
      </x:c>
      <x:c r="F1" s="26" t="str">
        <x:v>Data_Vencimento</x:v>
      </x:c>
      <x:c r="G1" s="26" t="str">
        <x:v>Data_Pagamento</x:v>
      </x:c>
      <x:c r="H1" s="26" t="str">
        <x:v>Dias_Atraso</x:v>
      </x:c>
      <x:c r="I1" s="26" t="str">
        <x:v>Status_Pagamento</x:v>
      </x:c>
    </x:row>
    <x:row r="2">
      <x:c r="A2" t="str">
        <x:v>PAG-000001</x:v>
      </x:c>
      <x:c r="B2" t="str">
        <x:v>IMV-0001</x:v>
      </x:c>
      <x:c r="C2" s="38" t="n">
        <x:v>46235</x:v>
      </x:c>
      <x:c r="D2" s="32" t="n">
        <x:v>1950</x:v>
      </x:c>
      <x:c r="E2" s="32" t="n">
        <x:v>1950</x:v>
      </x:c>
      <x:c r="F2" s="36" t="n">
        <x:v>46244</x:v>
      </x:c>
      <x:c r="G2" s="36" t="n">
        <x:v>46244</x:v>
      </x:c>
      <x:c r="H2" t="n">
        <x:v>0</x:v>
      </x:c>
      <x:c r="I2" t="str">
        <x:v>Pago em dia</x:v>
      </x:c>
    </x:row>
    <x:row r="3">
      <x:c r="A3" t="str">
        <x:v>PAG-000002</x:v>
      </x:c>
      <x:c r="B3" t="str">
        <x:v>IMV-0001</x:v>
      </x:c>
      <x:c r="C3" s="38" t="n">
        <x:v>46204</x:v>
      </x:c>
      <x:c r="D3" s="32" t="n">
        <x:v>1950</x:v>
      </x:c>
      <x:c r="E3" s="32" t="n">
        <x:v>1950</x:v>
      </x:c>
      <x:c r="F3" s="36" t="n">
        <x:v>46213</x:v>
      </x:c>
      <x:c r="G3" s="36" t="n">
        <x:v>46213</x:v>
      </x:c>
      <x:c r="H3" t="n">
        <x:v>0</x:v>
      </x:c>
      <x:c r="I3" t="str">
        <x:v>Pago em dia</x:v>
      </x:c>
    </x:row>
    <x:row r="4">
      <x:c r="A4" t="str">
        <x:v>PAG-000003</x:v>
      </x:c>
      <x:c r="B4" t="str">
        <x:v>IMV-0001</x:v>
      </x:c>
      <x:c r="C4" s="38" t="n">
        <x:v>46174</x:v>
      </x:c>
      <x:c r="D4" s="32" t="n">
        <x:v>1950</x:v>
      </x:c>
      <x:c r="E4" s="32" t="n">
        <x:v>1950</x:v>
      </x:c>
      <x:c r="F4" s="36" t="n">
        <x:v>46183</x:v>
      </x:c>
      <x:c r="G4" s="36" t="n">
        <x:v>46183</x:v>
      </x:c>
      <x:c r="H4" t="n">
        <x:v>0</x:v>
      </x:c>
      <x:c r="I4" t="str">
        <x:v>Pago em dia</x:v>
      </x:c>
    </x:row>
    <x:row r="5">
      <x:c r="A5" t="str">
        <x:v>PAG-000004</x:v>
      </x:c>
      <x:c r="B5" t="str">
        <x:v>IMV-0001</x:v>
      </x:c>
      <x:c r="C5" s="38" t="n">
        <x:v>46143</x:v>
      </x:c>
      <x:c r="D5" s="32" t="n">
        <x:v>1950</x:v>
      </x:c>
      <x:c r="E5" s="32" t="n">
        <x:v>1950</x:v>
      </x:c>
      <x:c r="F5" s="36" t="n">
        <x:v>46152</x:v>
      </x:c>
      <x:c r="G5" s="36" t="n">
        <x:v>46153</x:v>
      </x:c>
      <x:c r="H5" t="n">
        <x:v>1</x:v>
      </x:c>
      <x:c r="I5" t="str">
        <x:v>Pago em atraso</x:v>
      </x:c>
    </x:row>
    <x:row r="6">
      <x:c r="A6" t="str">
        <x:v>PAG-000005</x:v>
      </x:c>
      <x:c r="B6" t="str">
        <x:v>IMV-0001</x:v>
      </x:c>
      <x:c r="C6" s="38" t="n">
        <x:v>46113</x:v>
      </x:c>
      <x:c r="D6" s="32" t="n">
        <x:v>1950</x:v>
      </x:c>
      <x:c r="E6" s="32" t="n">
        <x:v>1950</x:v>
      </x:c>
      <x:c r="F6" s="36" t="n">
        <x:v>46122</x:v>
      </x:c>
      <x:c r="G6" s="36" t="n">
        <x:v>46122</x:v>
      </x:c>
      <x:c r="H6" t="n">
        <x:v>0</x:v>
      </x:c>
      <x:c r="I6" t="str">
        <x:v>Pago em dia</x:v>
      </x:c>
    </x:row>
    <x:row r="7">
      <x:c r="A7" t="str">
        <x:v>PAG-000006</x:v>
      </x:c>
      <x:c r="B7" t="str">
        <x:v>IMV-0001</x:v>
      </x:c>
      <x:c r="C7" s="38" t="n">
        <x:v>46082</x:v>
      </x:c>
      <x:c r="D7" s="32" t="n">
        <x:v>1950</x:v>
      </x:c>
      <x:c r="E7" s="32" t="n">
        <x:v>1950</x:v>
      </x:c>
      <x:c r="F7" s="36" t="n">
        <x:v>46091</x:v>
      </x:c>
      <x:c r="G7" s="36" t="n">
        <x:v>46091</x:v>
      </x:c>
      <x:c r="H7" t="n">
        <x:v>0</x:v>
      </x:c>
      <x:c r="I7" t="str">
        <x:v>Pago em dia</x:v>
      </x:c>
    </x:row>
    <x:row r="8">
      <x:c r="A8" t="str">
        <x:v>PAG-000007</x:v>
      </x:c>
      <x:c r="B8" t="str">
        <x:v>IMV-0001</x:v>
      </x:c>
      <x:c r="C8" s="38" t="n">
        <x:v>46054</x:v>
      </x:c>
      <x:c r="D8" s="32" t="n">
        <x:v>1950</x:v>
      </x:c>
      <x:c r="E8" s="32" t="n">
        <x:v>1950</x:v>
      </x:c>
      <x:c r="F8" s="36" t="n">
        <x:v>46063</x:v>
      </x:c>
      <x:c r="G8" s="36" t="n">
        <x:v>46066</x:v>
      </x:c>
      <x:c r="H8" t="n">
        <x:v>3</x:v>
      </x:c>
      <x:c r="I8" t="str">
        <x:v>Pago em atraso</x:v>
      </x:c>
    </x:row>
    <x:row r="9">
      <x:c r="A9" t="str">
        <x:v>PAG-000008</x:v>
      </x:c>
      <x:c r="B9" t="str">
        <x:v>IMV-0001</x:v>
      </x:c>
      <x:c r="C9" s="38" t="n">
        <x:v>46023</x:v>
      </x:c>
      <x:c r="D9" s="32" t="n">
        <x:v>1950</x:v>
      </x:c>
      <x:c r="E9" s="32" t="n">
        <x:v>1950</x:v>
      </x:c>
      <x:c r="F9" s="36" t="n">
        <x:v>46032</x:v>
      </x:c>
      <x:c r="G9" s="36" t="n">
        <x:v>46033</x:v>
      </x:c>
      <x:c r="H9" t="n">
        <x:v>1</x:v>
      </x:c>
      <x:c r="I9" t="str">
        <x:v>Pago em atraso</x:v>
      </x:c>
    </x:row>
    <x:row r="10">
      <x:c r="A10" t="str">
        <x:v>PAG-000009</x:v>
      </x:c>
      <x:c r="B10" t="str">
        <x:v>IMV-0001</x:v>
      </x:c>
      <x:c r="C10" s="38" t="n">
        <x:v>45992</x:v>
      </x:c>
      <x:c r="D10" s="32" t="n">
        <x:v>1950</x:v>
      </x:c>
      <x:c r="E10" s="32" t="n">
        <x:v>1950</x:v>
      </x:c>
      <x:c r="F10" s="36" t="n">
        <x:v>46001</x:v>
      </x:c>
      <x:c r="G10" s="36" t="n">
        <x:v>46001</x:v>
      </x:c>
      <x:c r="H10" t="n">
        <x:v>0</x:v>
      </x:c>
      <x:c r="I10" t="str">
        <x:v>Pago em dia</x:v>
      </x:c>
    </x:row>
    <x:row r="11">
      <x:c r="A11" t="str">
        <x:v>PAG-000010</x:v>
      </x:c>
      <x:c r="B11" t="str">
        <x:v>IMV-0001</x:v>
      </x:c>
      <x:c r="C11" s="38" t="n">
        <x:v>45962</x:v>
      </x:c>
      <x:c r="D11" s="32" t="n">
        <x:v>1950</x:v>
      </x:c>
      <x:c r="E11" s="32" t="n">
        <x:v>1950</x:v>
      </x:c>
      <x:c r="F11" s="36" t="n">
        <x:v>45971</x:v>
      </x:c>
      <x:c r="G11" s="36" t="n">
        <x:v>45971</x:v>
      </x:c>
      <x:c r="H11" t="n">
        <x:v>0</x:v>
      </x:c>
      <x:c r="I11" t="str">
        <x:v>Pago em dia</x:v>
      </x:c>
    </x:row>
    <x:row r="12">
      <x:c r="A12" t="str">
        <x:v>PAG-000011</x:v>
      </x:c>
      <x:c r="B12" t="str">
        <x:v>IMV-0001</x:v>
      </x:c>
      <x:c r="C12" s="38" t="n">
        <x:v>45931</x:v>
      </x:c>
      <x:c r="D12" s="32" t="n">
        <x:v>1950</x:v>
      </x:c>
      <x:c r="E12" s="32" t="n">
        <x:v>1950</x:v>
      </x:c>
      <x:c r="F12" s="36" t="n">
        <x:v>45940</x:v>
      </x:c>
      <x:c r="G12" s="36" t="n">
        <x:v>45940</x:v>
      </x:c>
      <x:c r="H12" t="n">
        <x:v>0</x:v>
      </x:c>
      <x:c r="I12" t="str">
        <x:v>Pago em dia</x:v>
      </x:c>
    </x:row>
    <x:row r="13">
      <x:c r="A13" t="str">
        <x:v>PAG-000012</x:v>
      </x:c>
      <x:c r="B13" t="str">
        <x:v>IMV-0001</x:v>
      </x:c>
      <x:c r="C13" s="38" t="n">
        <x:v>45901</x:v>
      </x:c>
      <x:c r="D13" s="32" t="n">
        <x:v>1950</x:v>
      </x:c>
      <x:c r="E13" s="32" t="n">
        <x:v>1950</x:v>
      </x:c>
      <x:c r="F13" s="36" t="n">
        <x:v>45910</x:v>
      </x:c>
      <x:c r="G13" s="36" t="n">
        <x:v>45910</x:v>
      </x:c>
      <x:c r="H13" t="n">
        <x:v>0</x:v>
      </x:c>
      <x:c r="I13" t="str">
        <x:v>Pago em dia</x:v>
      </x:c>
    </x:row>
    <x:row r="14">
      <x:c r="A14" t="str">
        <x:v>PAG-000013</x:v>
      </x:c>
      <x:c r="B14" t="str">
        <x:v>IMV-0003</x:v>
      </x:c>
      <x:c r="C14" s="38" t="n">
        <x:v>46235</x:v>
      </x:c>
      <x:c r="D14" s="32" t="n">
        <x:v>4800</x:v>
      </x:c>
      <x:c r="E14" s="32" t="n">
        <x:v>4800</x:v>
      </x:c>
      <x:c r="F14" s="36" t="n">
        <x:v>46244</x:v>
      </x:c>
      <x:c r="G14" s="36" t="n">
        <x:v>46247</x:v>
      </x:c>
      <x:c r="H14" t="n">
        <x:v>3</x:v>
      </x:c>
      <x:c r="I14" t="str">
        <x:v>Pago em atraso</x:v>
      </x:c>
    </x:row>
    <x:row r="15">
      <x:c r="A15" t="str">
        <x:v>PAG-000014</x:v>
      </x:c>
      <x:c r="B15" t="str">
        <x:v>IMV-0003</x:v>
      </x:c>
      <x:c r="C15" s="38" t="n">
        <x:v>46204</x:v>
      </x:c>
      <x:c r="D15" s="32" t="n">
        <x:v>4800</x:v>
      </x:c>
      <x:c r="E15" s="32" t="n">
        <x:v>4800</x:v>
      </x:c>
      <x:c r="F15" s="36" t="n">
        <x:v>46213</x:v>
      </x:c>
      <x:c r="G15" s="36" t="n">
        <x:v>46220</x:v>
      </x:c>
      <x:c r="H15" t="n">
        <x:v>7</x:v>
      </x:c>
      <x:c r="I15" t="str">
        <x:v>Pago em atraso</x:v>
      </x:c>
    </x:row>
    <x:row r="16">
      <x:c r="A16" t="str">
        <x:v>PAG-000015</x:v>
      </x:c>
      <x:c r="B16" t="str">
        <x:v>IMV-0003</x:v>
      </x:c>
      <x:c r="C16" s="38" t="n">
        <x:v>46174</x:v>
      </x:c>
      <x:c r="D16" s="32" t="n">
        <x:v>4800</x:v>
      </x:c>
      <x:c r="E16" s="32" t="n">
        <x:v>4800</x:v>
      </x:c>
      <x:c r="F16" s="36" t="n">
        <x:v>46183</x:v>
      </x:c>
      <x:c r="G16" s="36" t="n">
        <x:v>46183</x:v>
      </x:c>
      <x:c r="H16" t="n">
        <x:v>0</x:v>
      </x:c>
      <x:c r="I16" t="str">
        <x:v>Pago em dia</x:v>
      </x:c>
    </x:row>
    <x:row r="17">
      <x:c r="A17" t="str">
        <x:v>PAG-000016</x:v>
      </x:c>
      <x:c r="B17" t="str">
        <x:v>IMV-0003</x:v>
      </x:c>
      <x:c r="C17" s="38" t="n">
        <x:v>46143</x:v>
      </x:c>
      <x:c r="D17" s="32" t="n">
        <x:v>4800</x:v>
      </x:c>
      <x:c r="E17" s="32" t="n">
        <x:v>4800</x:v>
      </x:c>
      <x:c r="F17" s="36" t="n">
        <x:v>46152</x:v>
      </x:c>
      <x:c r="G17" s="36" t="n">
        <x:v>46159</x:v>
      </x:c>
      <x:c r="H17" t="n">
        <x:v>7</x:v>
      </x:c>
      <x:c r="I17" t="str">
        <x:v>Pago em atraso</x:v>
      </x:c>
    </x:row>
    <x:row r="18">
      <x:c r="A18" t="str">
        <x:v>PAG-000017</x:v>
      </x:c>
      <x:c r="B18" t="str">
        <x:v>IMV-0003</x:v>
      </x:c>
      <x:c r="C18" s="38" t="n">
        <x:v>46113</x:v>
      </x:c>
      <x:c r="D18" s="32" t="n">
        <x:v>4800</x:v>
      </x:c>
      <x:c r="E18" s="32" t="n">
        <x:v>4800</x:v>
      </x:c>
      <x:c r="F18" s="36" t="n">
        <x:v>46122</x:v>
      </x:c>
      <x:c r="G18" s="36" t="n">
        <x:v>46129</x:v>
      </x:c>
      <x:c r="H18" t="n">
        <x:v>7</x:v>
      </x:c>
      <x:c r="I18" t="str">
        <x:v>Pago em atraso</x:v>
      </x:c>
    </x:row>
    <x:row r="19">
      <x:c r="A19" t="str">
        <x:v>PAG-000018</x:v>
      </x:c>
      <x:c r="B19" t="str">
        <x:v>IMV-0003</x:v>
      </x:c>
      <x:c r="C19" s="38" t="n">
        <x:v>46082</x:v>
      </x:c>
      <x:c r="D19" s="32" t="n">
        <x:v>4800</x:v>
      </x:c>
      <x:c r="E19" s="32" t="n">
        <x:v>4800</x:v>
      </x:c>
      <x:c r="F19" s="36" t="n">
        <x:v>46091</x:v>
      </x:c>
      <x:c r="G19" s="36" t="n">
        <x:v>46091</x:v>
      </x:c>
      <x:c r="H19" t="n">
        <x:v>0</x:v>
      </x:c>
      <x:c r="I19" t="str">
        <x:v>Pago em dia</x:v>
      </x:c>
    </x:row>
    <x:row r="20">
      <x:c r="A20" t="str">
        <x:v>PAG-000019</x:v>
      </x:c>
      <x:c r="B20" t="str">
        <x:v>IMV-0003</x:v>
      </x:c>
      <x:c r="C20" s="38" t="n">
        <x:v>46054</x:v>
      </x:c>
      <x:c r="D20" s="32" t="n">
        <x:v>4800</x:v>
      </x:c>
      <x:c r="E20" s="32" t="n">
        <x:v>4800</x:v>
      </x:c>
      <x:c r="F20" s="36" t="n">
        <x:v>46063</x:v>
      </x:c>
      <x:c r="G20" s="36" t="n">
        <x:v>46070</x:v>
      </x:c>
      <x:c r="H20" t="n">
        <x:v>7</x:v>
      </x:c>
      <x:c r="I20" t="str">
        <x:v>Pago em atraso</x:v>
      </x:c>
    </x:row>
    <x:row r="21">
      <x:c r="A21" t="str">
        <x:v>PAG-000020</x:v>
      </x:c>
      <x:c r="B21" t="str">
        <x:v>IMV-0003</x:v>
      </x:c>
      <x:c r="C21" s="38" t="n">
        <x:v>46023</x:v>
      </x:c>
      <x:c r="D21" s="32" t="n">
        <x:v>4800</x:v>
      </x:c>
      <x:c r="E21" s="32" t="n">
        <x:v>4800</x:v>
      </x:c>
      <x:c r="F21" s="36" t="n">
        <x:v>46032</x:v>
      </x:c>
      <x:c r="G21" s="36" t="n">
        <x:v>46039</x:v>
      </x:c>
      <x:c r="H21" t="n">
        <x:v>7</x:v>
      </x:c>
      <x:c r="I21" t="str">
        <x:v>Pago em atraso</x:v>
      </x:c>
    </x:row>
    <x:row r="22">
      <x:c r="A22" t="str">
        <x:v>PAG-000021</x:v>
      </x:c>
      <x:c r="B22" t="str">
        <x:v>IMV-0003</x:v>
      </x:c>
      <x:c r="C22" s="38" t="n">
        <x:v>45992</x:v>
      </x:c>
      <x:c r="D22" s="32" t="n">
        <x:v>4800</x:v>
      </x:c>
      <x:c r="E22" s="32" t="n">
        <x:v>4800</x:v>
      </x:c>
      <x:c r="F22" s="36" t="n">
        <x:v>46001</x:v>
      </x:c>
      <x:c r="G22" s="36" t="n">
        <x:v>46001</x:v>
      </x:c>
      <x:c r="H22" t="n">
        <x:v>0</x:v>
      </x:c>
      <x:c r="I22" t="str">
        <x:v>Pago em dia</x:v>
      </x:c>
    </x:row>
    <x:row r="23">
      <x:c r="A23" t="str">
        <x:v>PAG-000022</x:v>
      </x:c>
      <x:c r="B23" t="str">
        <x:v>IMV-0003</x:v>
      </x:c>
      <x:c r="C23" s="38" t="n">
        <x:v>45962</x:v>
      </x:c>
      <x:c r="D23" s="32" t="n">
        <x:v>4800</x:v>
      </x:c>
      <x:c r="E23" s="32" t="n">
        <x:v>4800</x:v>
      </x:c>
      <x:c r="F23" s="36" t="n">
        <x:v>45971</x:v>
      </x:c>
      <x:c r="G23" s="36" t="n">
        <x:v>45974</x:v>
      </x:c>
      <x:c r="H23" t="n">
        <x:v>3</x:v>
      </x:c>
      <x:c r="I23" t="str">
        <x:v>Pago em atraso</x:v>
      </x:c>
    </x:row>
    <x:row r="24">
      <x:c r="A24" t="str">
        <x:v>PAG-000023</x:v>
      </x:c>
      <x:c r="B24" t="str">
        <x:v>IMV-0003</x:v>
      </x:c>
      <x:c r="C24" s="38" t="n">
        <x:v>45931</x:v>
      </x:c>
      <x:c r="D24" s="32" t="n">
        <x:v>4800</x:v>
      </x:c>
      <x:c r="E24" s="32" t="n">
        <x:v>4800</x:v>
      </x:c>
      <x:c r="F24" s="36" t="n">
        <x:v>45940</x:v>
      </x:c>
      <x:c r="G24" s="36" t="n">
        <x:v>45947</x:v>
      </x:c>
      <x:c r="H24" t="n">
        <x:v>7</x:v>
      </x:c>
      <x:c r="I24" t="str">
        <x:v>Pago em atraso</x:v>
      </x:c>
    </x:row>
    <x:row r="25">
      <x:c r="A25" t="str">
        <x:v>PAG-000024</x:v>
      </x:c>
      <x:c r="B25" t="str">
        <x:v>IMV-0003</x:v>
      </x:c>
      <x:c r="C25" s="38" t="n">
        <x:v>45901</x:v>
      </x:c>
      <x:c r="D25" s="32" t="n">
        <x:v>4800</x:v>
      </x:c>
      <x:c r="E25" s="32" t="n">
        <x:v>4800</x:v>
      </x:c>
      <x:c r="F25" s="36" t="n">
        <x:v>45910</x:v>
      </x:c>
      <x:c r="G25" s="36" t="n">
        <x:v>45913</x:v>
      </x:c>
      <x:c r="H25" t="n">
        <x:v>3</x:v>
      </x:c>
      <x:c r="I25" t="str">
        <x:v>Pago em atraso</x:v>
      </x:c>
    </x:row>
    <x:row r="26">
      <x:c r="A26" t="str">
        <x:v>PAG-000025</x:v>
      </x:c>
      <x:c r="B26" t="str">
        <x:v>IMV-0004</x:v>
      </x:c>
      <x:c r="C26" s="38" t="n">
        <x:v>46235</x:v>
      </x:c>
      <x:c r="D26" s="32" t="n">
        <x:v>1200</x:v>
      </x:c>
      <x:c r="E26" s="32" t="n">
        <x:v>1200</x:v>
      </x:c>
      <x:c r="F26" s="36" t="n">
        <x:v>46244</x:v>
      </x:c>
      <x:c r="G26" s="36" t="n">
        <x:v>46279</x:v>
      </x:c>
      <x:c r="H26" t="n">
        <x:v>35</x:v>
      </x:c>
      <x:c r="I26" t="str">
        <x:v>Pago em atraso</x:v>
      </x:c>
    </x:row>
    <x:row r="27">
      <x:c r="A27" t="str">
        <x:v>PAG-000026</x:v>
      </x:c>
      <x:c r="B27" t="str">
        <x:v>IMV-0004</x:v>
      </x:c>
      <x:c r="C27" s="38" t="n">
        <x:v>46204</x:v>
      </x:c>
      <x:c r="D27" s="32" t="n">
        <x:v>1200</x:v>
      </x:c>
      <x:c r="E27" s="32" t="n">
        <x:v>1200</x:v>
      </x:c>
      <x:c r="F27" s="36" t="n">
        <x:v>46213</x:v>
      </x:c>
      <x:c r="G27" s="36" t="n">
        <x:v>46273</x:v>
      </x:c>
      <x:c r="H27" t="n">
        <x:v>60</x:v>
      </x:c>
      <x:c r="I27" t="str">
        <x:v>Pago em atraso</x:v>
      </x:c>
    </x:row>
    <x:row r="28">
      <x:c r="A28" t="str">
        <x:v>PAG-000027</x:v>
      </x:c>
      <x:c r="B28" t="str">
        <x:v>IMV-0004</x:v>
      </x:c>
      <x:c r="C28" s="38" t="n">
        <x:v>46174</x:v>
      </x:c>
      <x:c r="D28" s="32" t="n">
        <x:v>1200</x:v>
      </x:c>
      <x:c r="E28" s="32" t="n">
        <x:v>1200</x:v>
      </x:c>
      <x:c r="F28" s="36" t="n">
        <x:v>46183</x:v>
      </x:c>
      <x:c r="G28" s="36" t="n">
        <x:v>46203</x:v>
      </x:c>
      <x:c r="H28" t="n">
        <x:v>20</x:v>
      </x:c>
      <x:c r="I28" t="str">
        <x:v>Pago em atraso</x:v>
      </x:c>
    </x:row>
    <x:row r="29">
      <x:c r="A29" t="str">
        <x:v>PAG-000028</x:v>
      </x:c>
      <x:c r="B29" t="str">
        <x:v>IMV-0004</x:v>
      </x:c>
      <x:c r="C29" s="38" t="n">
        <x:v>46143</x:v>
      </x:c>
      <x:c r="D29" s="32" t="n">
        <x:v>1200</x:v>
      </x:c>
      <x:c r="E29" s="32" t="n">
        <x:v>1200</x:v>
      </x:c>
      <x:c r="F29" s="36" t="n">
        <x:v>46152</x:v>
      </x:c>
      <x:c r="G29" s="36" t="n">
        <x:v>46172</x:v>
      </x:c>
      <x:c r="H29" t="n">
        <x:v>20</x:v>
      </x:c>
      <x:c r="I29" t="str">
        <x:v>Pago em atraso</x:v>
      </x:c>
    </x:row>
    <x:row r="30">
      <x:c r="A30" t="str">
        <x:v>PAG-000029</x:v>
      </x:c>
      <x:c r="B30" t="str">
        <x:v>IMV-0004</x:v>
      </x:c>
      <x:c r="C30" s="38" t="n">
        <x:v>46113</x:v>
      </x:c>
      <x:c r="D30" s="32" t="n">
        <x:v>1200</x:v>
      </x:c>
      <x:c r="E30" s="32" t="n">
        <x:v>1200</x:v>
      </x:c>
      <x:c r="F30" s="36" t="n">
        <x:v>46122</x:v>
      </x:c>
      <x:c r="G30" s="36" t="n">
        <x:v>46142</x:v>
      </x:c>
      <x:c r="H30" t="n">
        <x:v>20</x:v>
      </x:c>
      <x:c r="I30" t="str">
        <x:v>Pago em atraso</x:v>
      </x:c>
    </x:row>
    <x:row r="31">
      <x:c r="A31" t="str">
        <x:v>PAG-000030</x:v>
      </x:c>
      <x:c r="B31" t="str">
        <x:v>IMV-0004</x:v>
      </x:c>
      <x:c r="C31" s="38" t="n">
        <x:v>46082</x:v>
      </x:c>
      <x:c r="D31" s="32" t="n">
        <x:v>1200</x:v>
      </x:c>
      <x:c r="E31" s="32" t="n">
        <x:v>1200</x:v>
      </x:c>
      <x:c r="F31" s="36" t="n">
        <x:v>46091</x:v>
      </x:c>
      <x:c r="G31" s="36" t="n">
        <x:v>46151</x:v>
      </x:c>
      <x:c r="H31" t="n">
        <x:v>60</x:v>
      </x:c>
      <x:c r="I31" t="str">
        <x:v>Pago em atraso</x:v>
      </x:c>
    </x:row>
    <x:row r="32">
      <x:c r="A32" t="str">
        <x:v>PAG-000031</x:v>
      </x:c>
      <x:c r="B32" t="str">
        <x:v>IMV-0004</x:v>
      </x:c>
      <x:c r="C32" s="38" t="n">
        <x:v>46054</x:v>
      </x:c>
      <x:c r="D32" s="32" t="n">
        <x:v>1200</x:v>
      </x:c>
      <x:c r="E32" s="32" t="n">
        <x:v>1200</x:v>
      </x:c>
      <x:c r="F32" s="36" t="n">
        <x:v>46063</x:v>
      </x:c>
      <x:c r="G32" s="36" t="n">
        <x:v>46083</x:v>
      </x:c>
      <x:c r="H32" t="n">
        <x:v>20</x:v>
      </x:c>
      <x:c r="I32" t="str">
        <x:v>Pago em atraso</x:v>
      </x:c>
    </x:row>
    <x:row r="33">
      <x:c r="A33" t="str">
        <x:v>PAG-000032</x:v>
      </x:c>
      <x:c r="B33" t="str">
        <x:v>IMV-0004</x:v>
      </x:c>
      <x:c r="C33" s="38" t="n">
        <x:v>46023</x:v>
      </x:c>
      <x:c r="D33" s="32" t="n">
        <x:v>1200</x:v>
      </x:c>
      <x:c r="E33" s="32" t="n">
        <x:v>1200</x:v>
      </x:c>
      <x:c r="F33" s="36" t="n">
        <x:v>46032</x:v>
      </x:c>
      <x:c r="G33" s="36" t="n">
        <x:v>46044</x:v>
      </x:c>
      <x:c r="H33" t="n">
        <x:v>12</x:v>
      </x:c>
      <x:c r="I33" t="str">
        <x:v>Pago em atraso</x:v>
      </x:c>
    </x:row>
    <x:row r="34">
      <x:c r="A34" t="str">
        <x:v>PAG-000033</x:v>
      </x:c>
      <x:c r="B34" t="str">
        <x:v>IMV-0004</x:v>
      </x:c>
      <x:c r="C34" s="38" t="n">
        <x:v>45992</x:v>
      </x:c>
      <x:c r="D34" s="32" t="n">
        <x:v>1200</x:v>
      </x:c>
      <x:c r="E34" s="32" t="n">
        <x:v>1200</x:v>
      </x:c>
      <x:c r="F34" s="36" t="n">
        <x:v>46001</x:v>
      </x:c>
      <x:c r="G34" s="36" t="n">
        <x:v>46061</x:v>
      </x:c>
      <x:c r="H34" t="n">
        <x:v>60</x:v>
      </x:c>
      <x:c r="I34" t="str">
        <x:v>Pago em atraso</x:v>
      </x:c>
    </x:row>
    <x:row r="35">
      <x:c r="A35" t="str">
        <x:v>PAG-000034</x:v>
      </x:c>
      <x:c r="B35" t="str">
        <x:v>IMV-0004</x:v>
      </x:c>
      <x:c r="C35" s="38" t="n">
        <x:v>45962</x:v>
      </x:c>
      <x:c r="D35" s="32" t="n">
        <x:v>1200</x:v>
      </x:c>
      <x:c r="E35" s="32" t="n">
        <x:v>1200</x:v>
      </x:c>
      <x:c r="F35" s="36" t="n">
        <x:v>45971</x:v>
      </x:c>
      <x:c r="G35" s="36" t="n">
        <x:v>45991</x:v>
      </x:c>
      <x:c r="H35" t="n">
        <x:v>20</x:v>
      </x:c>
      <x:c r="I35" t="str">
        <x:v>Pago em atraso</x:v>
      </x:c>
    </x:row>
    <x:row r="36">
      <x:c r="A36" t="str">
        <x:v>PAG-000035</x:v>
      </x:c>
      <x:c r="B36" t="str">
        <x:v>IMV-0004</x:v>
      </x:c>
      <x:c r="C36" s="38" t="n">
        <x:v>45931</x:v>
      </x:c>
      <x:c r="D36" s="32" t="n">
        <x:v>1200</x:v>
      </x:c>
      <x:c r="E36" s="32" t="n">
        <x:v>1200</x:v>
      </x:c>
      <x:c r="F36" s="36" t="n">
        <x:v>45940</x:v>
      </x:c>
      <x:c r="G36" s="36" t="n">
        <x:v>45975</x:v>
      </x:c>
      <x:c r="H36" t="n">
        <x:v>35</x:v>
      </x:c>
      <x:c r="I36" t="str">
        <x:v>Pago em atraso</x:v>
      </x:c>
    </x:row>
    <x:row r="37">
      <x:c r="A37" t="str">
        <x:v>PAG-000036</x:v>
      </x:c>
      <x:c r="B37" t="str">
        <x:v>IMV-0004</x:v>
      </x:c>
      <x:c r="C37" s="38" t="n">
        <x:v>45901</x:v>
      </x:c>
      <x:c r="D37" s="32" t="n">
        <x:v>1200</x:v>
      </x:c>
      <x:c r="E37" s="32" t="n">
        <x:v>1200</x:v>
      </x:c>
      <x:c r="F37" s="36" t="n">
        <x:v>45910</x:v>
      </x:c>
      <x:c r="G37" s="36" t="n">
        <x:v>45922</x:v>
      </x:c>
      <x:c r="H37" t="n">
        <x:v>12</x:v>
      </x:c>
      <x:c r="I37" t="str">
        <x:v>Pago em atraso</x:v>
      </x:c>
    </x:row>
    <x:row r="38">
      <x:c r="A38" t="str">
        <x:v>PAG-000037</x:v>
      </x:c>
      <x:c r="B38" t="str">
        <x:v>IMV-0005</x:v>
      </x:c>
      <x:c r="C38" s="38" t="n">
        <x:v>46235</x:v>
      </x:c>
      <x:c r="D38" s="32" t="n">
        <x:v>2500</x:v>
      </x:c>
      <x:c r="E38" s="32" t="n">
        <x:v>2500</x:v>
      </x:c>
      <x:c r="F38" s="36" t="n">
        <x:v>46244</x:v>
      </x:c>
      <x:c r="G38" s="36" t="n">
        <x:v>46244</x:v>
      </x:c>
      <x:c r="H38" t="n">
        <x:v>0</x:v>
      </x:c>
      <x:c r="I38" t="str">
        <x:v>Pago em dia</x:v>
      </x:c>
    </x:row>
    <x:row r="39">
      <x:c r="A39" t="str">
        <x:v>PAG-000038</x:v>
      </x:c>
      <x:c r="B39" t="str">
        <x:v>IMV-0005</x:v>
      </x:c>
      <x:c r="C39" s="38" t="n">
        <x:v>46204</x:v>
      </x:c>
      <x:c r="D39" s="32" t="n">
        <x:v>2500</x:v>
      </x:c>
      <x:c r="E39" s="32" t="n">
        <x:v>2500</x:v>
      </x:c>
      <x:c r="F39" s="36" t="n">
        <x:v>46213</x:v>
      </x:c>
      <x:c r="G39" s="36" t="n">
        <x:v>46213</x:v>
      </x:c>
      <x:c r="H39" t="n">
        <x:v>0</x:v>
      </x:c>
      <x:c r="I39" t="str">
        <x:v>Pago em dia</x:v>
      </x:c>
    </x:row>
    <x:row r="40">
      <x:c r="A40" t="str">
        <x:v>PAG-000039</x:v>
      </x:c>
      <x:c r="B40" t="str">
        <x:v>IMV-0005</x:v>
      </x:c>
      <x:c r="C40" s="38" t="n">
        <x:v>46174</x:v>
      </x:c>
      <x:c r="D40" s="32" t="n">
        <x:v>2500</x:v>
      </x:c>
      <x:c r="E40" s="32" t="n">
        <x:v>2500</x:v>
      </x:c>
      <x:c r="F40" s="36" t="n">
        <x:v>46183</x:v>
      </x:c>
      <x:c r="G40" s="36" t="n">
        <x:v>46183</x:v>
      </x:c>
      <x:c r="H40" t="n">
        <x:v>0</x:v>
      </x:c>
      <x:c r="I40" t="str">
        <x:v>Pago em dia</x:v>
      </x:c>
    </x:row>
    <x:row r="41">
      <x:c r="A41" t="str">
        <x:v>PAG-000040</x:v>
      </x:c>
      <x:c r="B41" t="str">
        <x:v>IMV-0005</x:v>
      </x:c>
      <x:c r="C41" s="38" t="n">
        <x:v>46143</x:v>
      </x:c>
      <x:c r="D41" s="32" t="n">
        <x:v>2500</x:v>
      </x:c>
      <x:c r="E41" s="32" t="n">
        <x:v>2500</x:v>
      </x:c>
      <x:c r="F41" s="36" t="n">
        <x:v>46152</x:v>
      </x:c>
      <x:c r="G41" s="36" t="n">
        <x:v>46152</x:v>
      </x:c>
      <x:c r="H41" t="n">
        <x:v>0</x:v>
      </x:c>
      <x:c r="I41" t="str">
        <x:v>Pago em dia</x:v>
      </x:c>
    </x:row>
    <x:row r="42">
      <x:c r="A42" t="str">
        <x:v>PAG-000041</x:v>
      </x:c>
      <x:c r="B42" t="str">
        <x:v>IMV-0005</x:v>
      </x:c>
      <x:c r="C42" s="38" t="n">
        <x:v>46113</x:v>
      </x:c>
      <x:c r="D42" s="32" t="n">
        <x:v>2500</x:v>
      </x:c>
      <x:c r="E42" s="32" t="n">
        <x:v>2500</x:v>
      </x:c>
      <x:c r="F42" s="36" t="n">
        <x:v>46122</x:v>
      </x:c>
      <x:c r="G42" s="36" t="n">
        <x:v>46122</x:v>
      </x:c>
      <x:c r="H42" t="n">
        <x:v>0</x:v>
      </x:c>
      <x:c r="I42" t="str">
        <x:v>Pago em dia</x:v>
      </x:c>
    </x:row>
    <x:row r="43">
      <x:c r="A43" t="str">
        <x:v>PAG-000042</x:v>
      </x:c>
      <x:c r="B43" t="str">
        <x:v>IMV-0005</x:v>
      </x:c>
      <x:c r="C43" s="38" t="n">
        <x:v>46082</x:v>
      </x:c>
      <x:c r="D43" s="32" t="n">
        <x:v>2500</x:v>
      </x:c>
      <x:c r="E43" s="32" t="n">
        <x:v>2500</x:v>
      </x:c>
      <x:c r="F43" s="36" t="n">
        <x:v>46091</x:v>
      </x:c>
      <x:c r="G43" s="36" t="n">
        <x:v>46091</x:v>
      </x:c>
      <x:c r="H43" t="n">
        <x:v>0</x:v>
      </x:c>
      <x:c r="I43" t="str">
        <x:v>Pago em dia</x:v>
      </x:c>
    </x:row>
    <x:row r="44">
      <x:c r="A44" t="str">
        <x:v>PAG-000043</x:v>
      </x:c>
      <x:c r="B44" t="str">
        <x:v>IMV-0005</x:v>
      </x:c>
      <x:c r="C44" s="38" t="n">
        <x:v>46054</x:v>
      </x:c>
      <x:c r="D44" s="32" t="n">
        <x:v>2500</x:v>
      </x:c>
      <x:c r="E44" s="32" t="n">
        <x:v>2500</x:v>
      </x:c>
      <x:c r="F44" s="36" t="n">
        <x:v>46063</x:v>
      </x:c>
      <x:c r="G44" s="36" t="n">
        <x:v>46065</x:v>
      </x:c>
      <x:c r="H44" t="n">
        <x:v>2</x:v>
      </x:c>
      <x:c r="I44" t="str">
        <x:v>Pago em atraso</x:v>
      </x:c>
    </x:row>
    <x:row r="45">
      <x:c r="A45" t="str">
        <x:v>PAG-000044</x:v>
      </x:c>
      <x:c r="B45" t="str">
        <x:v>IMV-0005</x:v>
      </x:c>
      <x:c r="C45" s="38" t="n">
        <x:v>46023</x:v>
      </x:c>
      <x:c r="D45" s="32" t="n">
        <x:v>2500</x:v>
      </x:c>
      <x:c r="E45" s="32" t="n">
        <x:v>2500</x:v>
      </x:c>
      <x:c r="F45" s="36" t="n">
        <x:v>46032</x:v>
      </x:c>
      <x:c r="G45" s="36" t="n">
        <x:v>46032</x:v>
      </x:c>
      <x:c r="H45" t="n">
        <x:v>0</x:v>
      </x:c>
      <x:c r="I45" t="str">
        <x:v>Pago em dia</x:v>
      </x:c>
    </x:row>
    <x:row r="46">
      <x:c r="A46" t="str">
        <x:v>PAG-000045</x:v>
      </x:c>
      <x:c r="B46" t="str">
        <x:v>IMV-0005</x:v>
      </x:c>
      <x:c r="C46" s="38" t="n">
        <x:v>45992</x:v>
      </x:c>
      <x:c r="D46" s="32" t="n">
        <x:v>2500</x:v>
      </x:c>
      <x:c r="E46" s="32" t="n">
        <x:v>2500</x:v>
      </x:c>
      <x:c r="F46" s="36" t="n">
        <x:v>46001</x:v>
      </x:c>
      <x:c r="G46" s="36" t="n">
        <x:v>46001</x:v>
      </x:c>
      <x:c r="H46" t="n">
        <x:v>0</x:v>
      </x:c>
      <x:c r="I46" t="str">
        <x:v>Pago em dia</x:v>
      </x:c>
    </x:row>
    <x:row r="47">
      <x:c r="A47" t="str">
        <x:v>PAG-000046</x:v>
      </x:c>
      <x:c r="B47" t="str">
        <x:v>IMV-0005</x:v>
      </x:c>
      <x:c r="C47" s="38" t="n">
        <x:v>45962</x:v>
      </x:c>
      <x:c r="D47" s="32" t="n">
        <x:v>2500</x:v>
      </x:c>
      <x:c r="E47" s="32" t="n">
        <x:v>2500</x:v>
      </x:c>
      <x:c r="F47" s="36" t="n">
        <x:v>45971</x:v>
      </x:c>
      <x:c r="G47" s="36" t="n">
        <x:v>45974</x:v>
      </x:c>
      <x:c r="H47" t="n">
        <x:v>3</x:v>
      </x:c>
      <x:c r="I47" t="str">
        <x:v>Pago em atraso</x:v>
      </x:c>
    </x:row>
    <x:row r="48">
      <x:c r="A48" t="str">
        <x:v>PAG-000047</x:v>
      </x:c>
      <x:c r="B48" t="str">
        <x:v>IMV-0005</x:v>
      </x:c>
      <x:c r="C48" s="38" t="n">
        <x:v>45931</x:v>
      </x:c>
      <x:c r="D48" s="32" t="n">
        <x:v>2500</x:v>
      </x:c>
      <x:c r="E48" s="32" t="n">
        <x:v>2500</x:v>
      </x:c>
      <x:c r="F48" s="36" t="n">
        <x:v>45940</x:v>
      </x:c>
      <x:c r="G48" s="36" t="n">
        <x:v>45945</x:v>
      </x:c>
      <x:c r="H48" t="n">
        <x:v>5</x:v>
      </x:c>
      <x:c r="I48" t="str">
        <x:v>Pago em atraso</x:v>
      </x:c>
    </x:row>
    <x:row r="49">
      <x:c r="A49" t="str">
        <x:v>PAG-000048</x:v>
      </x:c>
      <x:c r="B49" t="str">
        <x:v>IMV-0005</x:v>
      </x:c>
      <x:c r="C49" s="38" t="n">
        <x:v>45901</x:v>
      </x:c>
      <x:c r="D49" s="32" t="n">
        <x:v>2500</x:v>
      </x:c>
      <x:c r="E49" s="32" t="n">
        <x:v>2500</x:v>
      </x:c>
      <x:c r="F49" s="36" t="n">
        <x:v>45910</x:v>
      </x:c>
      <x:c r="G49" s="36" t="n">
        <x:v>45915</x:v>
      </x:c>
      <x:c r="H49" t="n">
        <x:v>5</x:v>
      </x:c>
      <x:c r="I49" t="str">
        <x:v>Pago em atraso</x:v>
      </x:c>
    </x:row>
    <x:row r="50">
      <x:c r="A50" t="str">
        <x:v>PAG-000049</x:v>
      </x:c>
      <x:c r="B50" t="str">
        <x:v>IMV-0006</x:v>
      </x:c>
      <x:c r="C50" s="38" t="n">
        <x:v>46235</x:v>
      </x:c>
      <x:c r="D50" s="32" t="n">
        <x:v>2800</x:v>
      </x:c>
      <x:c r="E50" s="32" t="n">
        <x:v>2800</x:v>
      </x:c>
      <x:c r="F50" s="36" t="n">
        <x:v>46244</x:v>
      </x:c>
      <x:c r="G50" s="36" t="n">
        <x:v>46247</x:v>
      </x:c>
      <x:c r="H50" t="n">
        <x:v>3</x:v>
      </x:c>
      <x:c r="I50" t="str">
        <x:v>Pago em atraso</x:v>
      </x:c>
    </x:row>
    <x:row r="51">
      <x:c r="A51" t="str">
        <x:v>PAG-000050</x:v>
      </x:c>
      <x:c r="B51" t="str">
        <x:v>IMV-0006</x:v>
      </x:c>
      <x:c r="C51" s="38" t="n">
        <x:v>46204</x:v>
      </x:c>
      <x:c r="D51" s="32" t="n">
        <x:v>2800</x:v>
      </x:c>
      <x:c r="E51" s="32" t="n">
        <x:v>2800</x:v>
      </x:c>
      <x:c r="F51" s="36" t="n">
        <x:v>46213</x:v>
      </x:c>
      <x:c r="G51" s="36" t="n">
        <x:v>46225</x:v>
      </x:c>
      <x:c r="H51" t="n">
        <x:v>12</x:v>
      </x:c>
      <x:c r="I51" t="str">
        <x:v>Pago em atraso</x:v>
      </x:c>
    </x:row>
    <x:row r="52">
      <x:c r="A52" t="str">
        <x:v>PAG-000051</x:v>
      </x:c>
      <x:c r="B52" t="str">
        <x:v>IMV-0006</x:v>
      </x:c>
      <x:c r="C52" s="38" t="n">
        <x:v>46174</x:v>
      </x:c>
      <x:c r="D52" s="32" t="n">
        <x:v>2800</x:v>
      </x:c>
      <x:c r="E52" s="32" t="n">
        <x:v>2800</x:v>
      </x:c>
      <x:c r="F52" s="36" t="n">
        <x:v>46183</x:v>
      </x:c>
      <x:c r="G52" s="36" t="n">
        <x:v>46190</x:v>
      </x:c>
      <x:c r="H52" t="n">
        <x:v>7</x:v>
      </x:c>
      <x:c r="I52" t="str">
        <x:v>Pago em atraso</x:v>
      </x:c>
    </x:row>
    <x:row r="53">
      <x:c r="A53" t="str">
        <x:v>PAG-000052</x:v>
      </x:c>
      <x:c r="B53" t="str">
        <x:v>IMV-0006</x:v>
      </x:c>
      <x:c r="C53" s="38" t="n">
        <x:v>46143</x:v>
      </x:c>
      <x:c r="D53" s="32" t="n">
        <x:v>2800</x:v>
      </x:c>
      <x:c r="E53" s="32" t="n">
        <x:v>2800</x:v>
      </x:c>
      <x:c r="F53" s="36" t="n">
        <x:v>46152</x:v>
      </x:c>
      <x:c r="G53" s="36" t="n">
        <x:v>46172</x:v>
      </x:c>
      <x:c r="H53" t="n">
        <x:v>20</x:v>
      </x:c>
      <x:c r="I53" t="str">
        <x:v>Pago em atraso</x:v>
      </x:c>
    </x:row>
    <x:row r="54">
      <x:c r="A54" t="str">
        <x:v>PAG-000053</x:v>
      </x:c>
      <x:c r="B54" t="str">
        <x:v>IMV-0006</x:v>
      </x:c>
      <x:c r="C54" s="38" t="n">
        <x:v>46113</x:v>
      </x:c>
      <x:c r="D54" s="32" t="n">
        <x:v>2800</x:v>
      </x:c>
      <x:c r="E54" s="32" t="n">
        <x:v>2800</x:v>
      </x:c>
      <x:c r="F54" s="36" t="n">
        <x:v>46122</x:v>
      </x:c>
      <x:c r="G54" s="36" t="n">
        <x:v>46134</x:v>
      </x:c>
      <x:c r="H54" t="n">
        <x:v>12</x:v>
      </x:c>
      <x:c r="I54" t="str">
        <x:v>Pago em atraso</x:v>
      </x:c>
    </x:row>
    <x:row r="55">
      <x:c r="A55" t="str">
        <x:v>PAG-000054</x:v>
      </x:c>
      <x:c r="B55" t="str">
        <x:v>IMV-0006</x:v>
      </x:c>
      <x:c r="C55" s="38" t="n">
        <x:v>46082</x:v>
      </x:c>
      <x:c r="D55" s="32" t="n">
        <x:v>2800</x:v>
      </x:c>
      <x:c r="E55" s="32" t="n">
        <x:v>2800</x:v>
      </x:c>
      <x:c r="F55" s="36" t="n">
        <x:v>46091</x:v>
      </x:c>
      <x:c r="G55" s="36" t="n">
        <x:v>46091</x:v>
      </x:c>
      <x:c r="H55" t="n">
        <x:v>0</x:v>
      </x:c>
      <x:c r="I55" t="str">
        <x:v>Pago em dia</x:v>
      </x:c>
    </x:row>
    <x:row r="56">
      <x:c r="A56" t="str">
        <x:v>PAG-000055</x:v>
      </x:c>
      <x:c r="B56" t="str">
        <x:v>IMV-0006</x:v>
      </x:c>
      <x:c r="C56" s="38" t="n">
        <x:v>46054</x:v>
      </x:c>
      <x:c r="D56" s="32" t="n">
        <x:v>2800</x:v>
      </x:c>
      <x:c r="E56" s="32" t="n">
        <x:v>2800</x:v>
      </x:c>
      <x:c r="F56" s="36" t="n">
        <x:v>46063</x:v>
      </x:c>
      <x:c r="G56" s="36" t="n">
        <x:v>46075</x:v>
      </x:c>
      <x:c r="H56" t="n">
        <x:v>12</x:v>
      </x:c>
      <x:c r="I56" t="str">
        <x:v>Pago em atraso</x:v>
      </x:c>
    </x:row>
    <x:row r="57">
      <x:c r="A57" t="str">
        <x:v>PAG-000056</x:v>
      </x:c>
      <x:c r="B57" t="str">
        <x:v>IMV-0006</x:v>
      </x:c>
      <x:c r="C57" s="38" t="n">
        <x:v>46023</x:v>
      </x:c>
      <x:c r="D57" s="32" t="n">
        <x:v>2800</x:v>
      </x:c>
      <x:c r="E57" s="32" t="n">
        <x:v>2800</x:v>
      </x:c>
      <x:c r="F57" s="36" t="n">
        <x:v>46032</x:v>
      </x:c>
      <x:c r="G57" s="36" t="n">
        <x:v>46032</x:v>
      </x:c>
      <x:c r="H57" t="n">
        <x:v>0</x:v>
      </x:c>
      <x:c r="I57" t="str">
        <x:v>Pago em dia</x:v>
      </x:c>
    </x:row>
    <x:row r="58">
      <x:c r="A58" t="str">
        <x:v>PAG-000057</x:v>
      </x:c>
      <x:c r="B58" t="str">
        <x:v>IMV-0006</x:v>
      </x:c>
      <x:c r="C58" s="38" t="n">
        <x:v>45992</x:v>
      </x:c>
      <x:c r="D58" s="32" t="n">
        <x:v>2800</x:v>
      </x:c>
      <x:c r="E58" s="32" t="n">
        <x:v>2800</x:v>
      </x:c>
      <x:c r="F58" s="36" t="n">
        <x:v>46001</x:v>
      </x:c>
      <x:c r="G58" s="36" t="n">
        <x:v>46008</x:v>
      </x:c>
      <x:c r="H58" t="n">
        <x:v>7</x:v>
      </x:c>
      <x:c r="I58" t="str">
        <x:v>Pago em atraso</x:v>
      </x:c>
    </x:row>
    <x:row r="59">
      <x:c r="A59" t="str">
        <x:v>PAG-000058</x:v>
      </x:c>
      <x:c r="B59" t="str">
        <x:v>IMV-0006</x:v>
      </x:c>
      <x:c r="C59" s="38" t="n">
        <x:v>45962</x:v>
      </x:c>
      <x:c r="D59" s="32" t="n">
        <x:v>2800</x:v>
      </x:c>
      <x:c r="E59" s="32" t="n">
        <x:v>2800</x:v>
      </x:c>
      <x:c r="F59" s="36" t="n">
        <x:v>45971</x:v>
      </x:c>
      <x:c r="G59" s="36" t="n">
        <x:v>45978</x:v>
      </x:c>
      <x:c r="H59" t="n">
        <x:v>7</x:v>
      </x:c>
      <x:c r="I59" t="str">
        <x:v>Pago em atraso</x:v>
      </x:c>
    </x:row>
    <x:row r="60">
      <x:c r="A60" t="str">
        <x:v>PAG-000059</x:v>
      </x:c>
      <x:c r="B60" t="str">
        <x:v>IMV-0006</x:v>
      </x:c>
      <x:c r="C60" s="38" t="n">
        <x:v>45931</x:v>
      </x:c>
      <x:c r="D60" s="32" t="n">
        <x:v>2800</x:v>
      </x:c>
      <x:c r="E60" s="32" t="n">
        <x:v>2800</x:v>
      </x:c>
      <x:c r="F60" s="36" t="n">
        <x:v>45940</x:v>
      </x:c>
      <x:c r="G60" s="36" t="n">
        <x:v>45947</x:v>
      </x:c>
      <x:c r="H60" t="n">
        <x:v>7</x:v>
      </x:c>
      <x:c r="I60" t="str">
        <x:v>Pago em atraso</x:v>
      </x:c>
    </x:row>
    <x:row r="61">
      <x:c r="A61" t="str">
        <x:v>PAG-000060</x:v>
      </x:c>
      <x:c r="B61" t="str">
        <x:v>IMV-0006</x:v>
      </x:c>
      <x:c r="C61" s="38" t="n">
        <x:v>45901</x:v>
      </x:c>
      <x:c r="D61" s="32" t="n">
        <x:v>2800</x:v>
      </x:c>
      <x:c r="E61" s="32" t="n">
        <x:v>2800</x:v>
      </x:c>
      <x:c r="F61" s="36" t="n">
        <x:v>45910</x:v>
      </x:c>
      <x:c r="G61" s="36" t="n">
        <x:v>45917</x:v>
      </x:c>
      <x:c r="H61" t="n">
        <x:v>7</x:v>
      </x:c>
      <x:c r="I61" t="str">
        <x:v>Pago em atraso</x:v>
      </x:c>
    </x:row>
    <x:row r="62">
      <x:c r="A62" t="str">
        <x:v>PAG-000061</x:v>
      </x:c>
      <x:c r="B62" t="str">
        <x:v>IMV-0007</x:v>
      </x:c>
      <x:c r="C62" s="38" t="n">
        <x:v>46235</x:v>
      </x:c>
      <x:c r="D62" s="32" t="n">
        <x:v>5050</x:v>
      </x:c>
      <x:c r="E62" s="32" t="n">
        <x:v>5050</x:v>
      </x:c>
      <x:c r="F62" s="36" t="n">
        <x:v>46244</x:v>
      </x:c>
      <x:c r="G62" s="36" t="n">
        <x:v>46247</x:v>
      </x:c>
      <x:c r="H62" t="n">
        <x:v>3</x:v>
      </x:c>
      <x:c r="I62" t="str">
        <x:v>Pago em atraso</x:v>
      </x:c>
    </x:row>
    <x:row r="63">
      <x:c r="A63" t="str">
        <x:v>PAG-000062</x:v>
      </x:c>
      <x:c r="B63" t="str">
        <x:v>IMV-0007</x:v>
      </x:c>
      <x:c r="C63" s="38" t="n">
        <x:v>46204</x:v>
      </x:c>
      <x:c r="D63" s="32" t="n">
        <x:v>5050</x:v>
      </x:c>
      <x:c r="E63" s="32" t="n">
        <x:v>5050</x:v>
      </x:c>
      <x:c r="F63" s="36" t="n">
        <x:v>46213</x:v>
      </x:c>
      <x:c r="G63" s="36" t="n">
        <x:v>46218</x:v>
      </x:c>
      <x:c r="H63" t="n">
        <x:v>5</x:v>
      </x:c>
      <x:c r="I63" t="str">
        <x:v>Pago em atraso</x:v>
      </x:c>
    </x:row>
    <x:row r="64">
      <x:c r="A64" t="str">
        <x:v>PAG-000063</x:v>
      </x:c>
      <x:c r="B64" t="str">
        <x:v>IMV-0007</x:v>
      </x:c>
      <x:c r="C64" s="38" t="n">
        <x:v>46174</x:v>
      </x:c>
      <x:c r="D64" s="32" t="n">
        <x:v>5050</x:v>
      </x:c>
      <x:c r="E64" s="32" t="n">
        <x:v>5050</x:v>
      </x:c>
      <x:c r="F64" s="36" t="n">
        <x:v>46183</x:v>
      </x:c>
      <x:c r="G64" s="36" t="n">
        <x:v>46186</x:v>
      </x:c>
      <x:c r="H64" t="n">
        <x:v>3</x:v>
      </x:c>
      <x:c r="I64" t="str">
        <x:v>Pago em atraso</x:v>
      </x:c>
    </x:row>
    <x:row r="65">
      <x:c r="A65" t="str">
        <x:v>PAG-000064</x:v>
      </x:c>
      <x:c r="B65" t="str">
        <x:v>IMV-0007</x:v>
      </x:c>
      <x:c r="C65" s="38" t="n">
        <x:v>46143</x:v>
      </x:c>
      <x:c r="D65" s="32" t="n">
        <x:v>5050</x:v>
      </x:c>
      <x:c r="E65" s="32" t="n">
        <x:v>5050</x:v>
      </x:c>
      <x:c r="F65" s="36" t="n">
        <x:v>46152</x:v>
      </x:c>
      <x:c r="G65" s="36" t="n">
        <x:v>46157</x:v>
      </x:c>
      <x:c r="H65" t="n">
        <x:v>5</x:v>
      </x:c>
      <x:c r="I65" t="str">
        <x:v>Pago em atraso</x:v>
      </x:c>
    </x:row>
    <x:row r="66">
      <x:c r="A66" t="str">
        <x:v>PAG-000065</x:v>
      </x:c>
      <x:c r="B66" t="str">
        <x:v>IMV-0007</x:v>
      </x:c>
      <x:c r="C66" s="38" t="n">
        <x:v>46113</x:v>
      </x:c>
      <x:c r="D66" s="32" t="n">
        <x:v>5050</x:v>
      </x:c>
      <x:c r="E66" s="32" t="n">
        <x:v>5050</x:v>
      </x:c>
      <x:c r="F66" s="36" t="n">
        <x:v>46122</x:v>
      </x:c>
      <x:c r="G66" s="36" t="n">
        <x:v>46122</x:v>
      </x:c>
      <x:c r="H66" t="n">
        <x:v>0</x:v>
      </x:c>
      <x:c r="I66" t="str">
        <x:v>Pago em dia</x:v>
      </x:c>
    </x:row>
    <x:row r="67">
      <x:c r="A67" t="str">
        <x:v>PAG-000066</x:v>
      </x:c>
      <x:c r="B67" t="str">
        <x:v>IMV-0007</x:v>
      </x:c>
      <x:c r="C67" s="38" t="n">
        <x:v>46082</x:v>
      </x:c>
      <x:c r="D67" s="32" t="n">
        <x:v>5050</x:v>
      </x:c>
      <x:c r="E67" s="32" t="n">
        <x:v>5050</x:v>
      </x:c>
      <x:c r="F67" s="36" t="n">
        <x:v>46091</x:v>
      </x:c>
      <x:c r="G67" s="36" t="n">
        <x:v>46091</x:v>
      </x:c>
      <x:c r="H67" t="n">
        <x:v>0</x:v>
      </x:c>
      <x:c r="I67" t="str">
        <x:v>Pago em dia</x:v>
      </x:c>
    </x:row>
    <x:row r="68">
      <x:c r="A68" t="str">
        <x:v>PAG-000067</x:v>
      </x:c>
      <x:c r="B68" t="str">
        <x:v>IMV-0007</x:v>
      </x:c>
      <x:c r="C68" s="38" t="n">
        <x:v>46054</x:v>
      </x:c>
      <x:c r="D68" s="32" t="n">
        <x:v>5050</x:v>
      </x:c>
      <x:c r="E68" s="32" t="n">
        <x:v>5050</x:v>
      </x:c>
      <x:c r="F68" s="36" t="n">
        <x:v>46063</x:v>
      </x:c>
      <x:c r="G68" s="36" t="n">
        <x:v>46063</x:v>
      </x:c>
      <x:c r="H68" t="n">
        <x:v>0</x:v>
      </x:c>
      <x:c r="I68" t="str">
        <x:v>Pago em dia</x:v>
      </x:c>
    </x:row>
    <x:row r="69">
      <x:c r="A69" t="str">
        <x:v>PAG-000068</x:v>
      </x:c>
      <x:c r="B69" t="str">
        <x:v>IMV-0007</x:v>
      </x:c>
      <x:c r="C69" s="38" t="n">
        <x:v>46023</x:v>
      </x:c>
      <x:c r="D69" s="32" t="n">
        <x:v>5050</x:v>
      </x:c>
      <x:c r="E69" s="32" t="n">
        <x:v>5050</x:v>
      </x:c>
      <x:c r="F69" s="36" t="n">
        <x:v>46032</x:v>
      </x:c>
      <x:c r="G69" s="36" t="n">
        <x:v>46032</x:v>
      </x:c>
      <x:c r="H69" t="n">
        <x:v>0</x:v>
      </x:c>
      <x:c r="I69" t="str">
        <x:v>Pago em dia</x:v>
      </x:c>
    </x:row>
    <x:row r="70">
      <x:c r="A70" t="str">
        <x:v>PAG-000069</x:v>
      </x:c>
      <x:c r="B70" t="str">
        <x:v>IMV-0007</x:v>
      </x:c>
      <x:c r="C70" s="38" t="n">
        <x:v>45992</x:v>
      </x:c>
      <x:c r="D70" s="32" t="n">
        <x:v>5050</x:v>
      </x:c>
      <x:c r="E70" s="32" t="n">
        <x:v>5050</x:v>
      </x:c>
      <x:c r="F70" s="36" t="n">
        <x:v>46001</x:v>
      </x:c>
      <x:c r="G70" s="36" t="n">
        <x:v>46002</x:v>
      </x:c>
      <x:c r="H70" t="n">
        <x:v>1</x:v>
      </x:c>
      <x:c r="I70" t="str">
        <x:v>Pago em atraso</x:v>
      </x:c>
    </x:row>
    <x:row r="71">
      <x:c r="A71" t="str">
        <x:v>PAG-000070</x:v>
      </x:c>
      <x:c r="B71" t="str">
        <x:v>IMV-0007</x:v>
      </x:c>
      <x:c r="C71" s="38" t="n">
        <x:v>45962</x:v>
      </x:c>
      <x:c r="D71" s="32" t="n">
        <x:v>5050</x:v>
      </x:c>
      <x:c r="E71" s="32" t="n">
        <x:v>5050</x:v>
      </x:c>
      <x:c r="F71" s="36" t="n">
        <x:v>45971</x:v>
      </x:c>
      <x:c r="G71" s="36" t="n">
        <x:v>45972</x:v>
      </x:c>
      <x:c r="H71" t="n">
        <x:v>1</x:v>
      </x:c>
      <x:c r="I71" t="str">
        <x:v>Pago em atraso</x:v>
      </x:c>
    </x:row>
    <x:row r="72">
      <x:c r="A72" t="str">
        <x:v>PAG-000071</x:v>
      </x:c>
      <x:c r="B72" t="str">
        <x:v>IMV-0007</x:v>
      </x:c>
      <x:c r="C72" s="38" t="n">
        <x:v>45931</x:v>
      </x:c>
      <x:c r="D72" s="32" t="n">
        <x:v>5050</x:v>
      </x:c>
      <x:c r="E72" s="32" t="n">
        <x:v>5050</x:v>
      </x:c>
      <x:c r="F72" s="36" t="n">
        <x:v>45940</x:v>
      </x:c>
      <x:c r="G72" s="36" t="n">
        <x:v>45940</x:v>
      </x:c>
      <x:c r="H72" t="n">
        <x:v>0</x:v>
      </x:c>
      <x:c r="I72" t="str">
        <x:v>Pago em dia</x:v>
      </x:c>
    </x:row>
    <x:row r="73">
      <x:c r="A73" t="str">
        <x:v>PAG-000072</x:v>
      </x:c>
      <x:c r="B73" t="str">
        <x:v>IMV-0007</x:v>
      </x:c>
      <x:c r="C73" s="38" t="n">
        <x:v>45901</x:v>
      </x:c>
      <x:c r="D73" s="32" t="n">
        <x:v>5050</x:v>
      </x:c>
      <x:c r="E73" s="32" t="n">
        <x:v>5050</x:v>
      </x:c>
      <x:c r="F73" s="36" t="n">
        <x:v>45910</x:v>
      </x:c>
      <x:c r="G73" s="36" t="n">
        <x:v>45910</x:v>
      </x:c>
      <x:c r="H73" t="n">
        <x:v>0</x:v>
      </x:c>
      <x:c r="I73" t="str">
        <x:v>Pago em dia</x:v>
      </x:c>
    </x:row>
    <x:row r="74">
      <x:c r="A74" t="str">
        <x:v>PAG-000073</x:v>
      </x:c>
      <x:c r="B74" t="str">
        <x:v>IMV-0009</x:v>
      </x:c>
      <x:c r="C74" s="38" t="n">
        <x:v>46235</x:v>
      </x:c>
      <x:c r="D74" s="32" t="n">
        <x:v>1450</x:v>
      </x:c>
      <x:c r="E74" s="32" t="n">
        <x:v>1450</x:v>
      </x:c>
      <x:c r="F74" s="36" t="n">
        <x:v>46244</x:v>
      </x:c>
      <x:c r="G74" s="36" t="n">
        <x:v>46251</x:v>
      </x:c>
      <x:c r="H74" t="n">
        <x:v>7</x:v>
      </x:c>
      <x:c r="I74" t="str">
        <x:v>Pago em atraso</x:v>
      </x:c>
    </x:row>
    <x:row r="75">
      <x:c r="A75" t="str">
        <x:v>PAG-000074</x:v>
      </x:c>
      <x:c r="B75" t="str">
        <x:v>IMV-0009</x:v>
      </x:c>
      <x:c r="C75" s="38" t="n">
        <x:v>46204</x:v>
      </x:c>
      <x:c r="D75" s="32" t="n">
        <x:v>1450</x:v>
      </x:c>
      <x:c r="E75" s="32" t="n">
        <x:v>1450</x:v>
      </x:c>
      <x:c r="F75" s="36" t="n">
        <x:v>46213</x:v>
      </x:c>
      <x:c r="G75" s="36" t="n">
        <x:v>46213</x:v>
      </x:c>
      <x:c r="H75" t="n">
        <x:v>0</x:v>
      </x:c>
      <x:c r="I75" t="str">
        <x:v>Pago em dia</x:v>
      </x:c>
    </x:row>
    <x:row r="76">
      <x:c r="A76" t="str">
        <x:v>PAG-000075</x:v>
      </x:c>
      <x:c r="B76" t="str">
        <x:v>IMV-0009</x:v>
      </x:c>
      <x:c r="C76" s="38" t="n">
        <x:v>46174</x:v>
      </x:c>
      <x:c r="D76" s="32" t="n">
        <x:v>1450</x:v>
      </x:c>
      <x:c r="E76" s="32" t="n">
        <x:v>1450</x:v>
      </x:c>
      <x:c r="F76" s="36" t="n">
        <x:v>46183</x:v>
      </x:c>
      <x:c r="G76" s="36" t="n">
        <x:v>46195</x:v>
      </x:c>
      <x:c r="H76" t="n">
        <x:v>12</x:v>
      </x:c>
      <x:c r="I76" t="str">
        <x:v>Pago em atraso</x:v>
      </x:c>
    </x:row>
    <x:row r="77">
      <x:c r="A77" t="str">
        <x:v>PAG-000076</x:v>
      </x:c>
      <x:c r="B77" t="str">
        <x:v>IMV-0009</x:v>
      </x:c>
      <x:c r="C77" s="38" t="n">
        <x:v>46143</x:v>
      </x:c>
      <x:c r="D77" s="32" t="n">
        <x:v>1450</x:v>
      </x:c>
      <x:c r="E77" s="32" t="n">
        <x:v>1450</x:v>
      </x:c>
      <x:c r="F77" s="36" t="n">
        <x:v>46152</x:v>
      </x:c>
      <x:c r="G77" s="36" t="n">
        <x:v>46152</x:v>
      </x:c>
      <x:c r="H77" t="n">
        <x:v>0</x:v>
      </x:c>
      <x:c r="I77" t="str">
        <x:v>Pago em dia</x:v>
      </x:c>
    </x:row>
    <x:row r="78">
      <x:c r="A78" t="str">
        <x:v>PAG-000077</x:v>
      </x:c>
      <x:c r="B78" t="str">
        <x:v>IMV-0009</x:v>
      </x:c>
      <x:c r="C78" s="38" t="n">
        <x:v>46113</x:v>
      </x:c>
      <x:c r="D78" s="32" t="n">
        <x:v>1450</x:v>
      </x:c>
      <x:c r="E78" s="32" t="n">
        <x:v>1450</x:v>
      </x:c>
      <x:c r="F78" s="36" t="n">
        <x:v>46122</x:v>
      </x:c>
      <x:c r="G78" s="36" t="n">
        <x:v>46125</x:v>
      </x:c>
      <x:c r="H78" t="n">
        <x:v>3</x:v>
      </x:c>
      <x:c r="I78" t="str">
        <x:v>Pago em atraso</x:v>
      </x:c>
    </x:row>
    <x:row r="79">
      <x:c r="A79" t="str">
        <x:v>PAG-000078</x:v>
      </x:c>
      <x:c r="B79" t="str">
        <x:v>IMV-0009</x:v>
      </x:c>
      <x:c r="C79" s="38" t="n">
        <x:v>46082</x:v>
      </x:c>
      <x:c r="D79" s="32" t="n">
        <x:v>1450</x:v>
      </x:c>
      <x:c r="E79" s="32" t="n">
        <x:v>1450</x:v>
      </x:c>
      <x:c r="F79" s="36" t="n">
        <x:v>46091</x:v>
      </x:c>
      <x:c r="G79" s="36" t="n">
        <x:v>46091</x:v>
      </x:c>
      <x:c r="H79" t="n">
        <x:v>0</x:v>
      </x:c>
      <x:c r="I79" t="str">
        <x:v>Pago em dia</x:v>
      </x:c>
    </x:row>
    <x:row r="80">
      <x:c r="A80" t="str">
        <x:v>PAG-000079</x:v>
      </x:c>
      <x:c r="B80" t="str">
        <x:v>IMV-0009</x:v>
      </x:c>
      <x:c r="C80" s="38" t="n">
        <x:v>46054</x:v>
      </x:c>
      <x:c r="D80" s="32" t="n">
        <x:v>1450</x:v>
      </x:c>
      <x:c r="E80" s="32" t="n">
        <x:v>1450</x:v>
      </x:c>
      <x:c r="F80" s="36" t="n">
        <x:v>46063</x:v>
      </x:c>
      <x:c r="G80" s="36" t="n">
        <x:v>46070</x:v>
      </x:c>
      <x:c r="H80" t="n">
        <x:v>7</x:v>
      </x:c>
      <x:c r="I80" t="str">
        <x:v>Pago em atraso</x:v>
      </x:c>
    </x:row>
    <x:row r="81">
      <x:c r="A81" t="str">
        <x:v>PAG-000080</x:v>
      </x:c>
      <x:c r="B81" t="str">
        <x:v>IMV-0009</x:v>
      </x:c>
      <x:c r="C81" s="38" t="n">
        <x:v>46023</x:v>
      </x:c>
      <x:c r="D81" s="32" t="n">
        <x:v>1450</x:v>
      </x:c>
      <x:c r="E81" s="32" t="n">
        <x:v>1450</x:v>
      </x:c>
      <x:c r="F81" s="36" t="n">
        <x:v>46032</x:v>
      </x:c>
      <x:c r="G81" s="36" t="n">
        <x:v>46035</x:v>
      </x:c>
      <x:c r="H81" t="n">
        <x:v>3</x:v>
      </x:c>
      <x:c r="I81" t="str">
        <x:v>Pago em atraso</x:v>
      </x:c>
    </x:row>
    <x:row r="82">
      <x:c r="A82" t="str">
        <x:v>PAG-000081</x:v>
      </x:c>
      <x:c r="B82" t="str">
        <x:v>IMV-0009</x:v>
      </x:c>
      <x:c r="C82" s="38" t="n">
        <x:v>45992</x:v>
      </x:c>
      <x:c r="D82" s="32" t="n">
        <x:v>1450</x:v>
      </x:c>
      <x:c r="E82" s="32" t="n">
        <x:v>1450</x:v>
      </x:c>
      <x:c r="F82" s="36" t="n">
        <x:v>46001</x:v>
      </x:c>
      <x:c r="G82" s="36" t="n">
        <x:v>46008</x:v>
      </x:c>
      <x:c r="H82" t="n">
        <x:v>7</x:v>
      </x:c>
      <x:c r="I82" t="str">
        <x:v>Pago em atraso</x:v>
      </x:c>
    </x:row>
    <x:row r="83">
      <x:c r="A83" t="str">
        <x:v>PAG-000082</x:v>
      </x:c>
      <x:c r="B83" t="str">
        <x:v>IMV-0009</x:v>
      </x:c>
      <x:c r="C83" s="38" t="n">
        <x:v>45962</x:v>
      </x:c>
      <x:c r="D83" s="32" t="n">
        <x:v>1450</x:v>
      </x:c>
      <x:c r="E83" s="32" t="n">
        <x:v>1450</x:v>
      </x:c>
      <x:c r="F83" s="36" t="n">
        <x:v>45971</x:v>
      </x:c>
      <x:c r="G83" s="36" t="n">
        <x:v>45971</x:v>
      </x:c>
      <x:c r="H83" t="n">
        <x:v>0</x:v>
      </x:c>
      <x:c r="I83" t="str">
        <x:v>Pago em dia</x:v>
      </x:c>
    </x:row>
    <x:row r="84">
      <x:c r="A84" t="str">
        <x:v>PAG-000083</x:v>
      </x:c>
      <x:c r="B84" t="str">
        <x:v>IMV-0009</x:v>
      </x:c>
      <x:c r="C84" s="38" t="n">
        <x:v>45931</x:v>
      </x:c>
      <x:c r="D84" s="32" t="n">
        <x:v>1450</x:v>
      </x:c>
      <x:c r="E84" s="32" t="n">
        <x:v>1450</x:v>
      </x:c>
      <x:c r="F84" s="36" t="n">
        <x:v>45940</x:v>
      </x:c>
      <x:c r="G84" s="36" t="n">
        <x:v>45947</x:v>
      </x:c>
      <x:c r="H84" t="n">
        <x:v>7</x:v>
      </x:c>
      <x:c r="I84" t="str">
        <x:v>Pago em atraso</x:v>
      </x:c>
    </x:row>
    <x:row r="85">
      <x:c r="A85" t="str">
        <x:v>PAG-000084</x:v>
      </x:c>
      <x:c r="B85" t="str">
        <x:v>IMV-0009</x:v>
      </x:c>
      <x:c r="C85" s="38" t="n">
        <x:v>45901</x:v>
      </x:c>
      <x:c r="D85" s="32" t="n">
        <x:v>1450</x:v>
      </x:c>
      <x:c r="E85" s="32" t="n">
        <x:v>1450</x:v>
      </x:c>
      <x:c r="F85" s="36" t="n">
        <x:v>45910</x:v>
      </x:c>
      <x:c r="G85" s="36" t="n">
        <x:v>45930</x:v>
      </x:c>
      <x:c r="H85" t="n">
        <x:v>20</x:v>
      </x:c>
      <x:c r="I85" t="str">
        <x:v>Pago em atraso</x:v>
      </x:c>
    </x:row>
    <x:row r="86">
      <x:c r="A86" t="str">
        <x:v>PAG-000085</x:v>
      </x:c>
      <x:c r="B86" t="str">
        <x:v>IMV-0010</x:v>
      </x:c>
      <x:c r="C86" s="38" t="n">
        <x:v>46235</x:v>
      </x:c>
      <x:c r="D86" s="32" t="n">
        <x:v>3550</x:v>
      </x:c>
      <x:c r="E86" s="32" t="n">
        <x:v>3550</x:v>
      </x:c>
      <x:c r="F86" s="36" t="n">
        <x:v>46244</x:v>
      </x:c>
      <x:c r="G86" s="36" t="n">
        <x:v>46279</x:v>
      </x:c>
      <x:c r="H86" t="n">
        <x:v>35</x:v>
      </x:c>
      <x:c r="I86" t="str">
        <x:v>Pago em atraso</x:v>
      </x:c>
    </x:row>
    <x:row r="87">
      <x:c r="A87" t="str">
        <x:v>PAG-000086</x:v>
      </x:c>
      <x:c r="B87" t="str">
        <x:v>IMV-0010</x:v>
      </x:c>
      <x:c r="C87" s="38" t="n">
        <x:v>46204</x:v>
      </x:c>
      <x:c r="D87" s="32" t="n">
        <x:v>3550</x:v>
      </x:c>
      <x:c r="E87" s="32" t="n">
        <x:v>3550</x:v>
      </x:c>
      <x:c r="F87" s="36" t="n">
        <x:v>46213</x:v>
      </x:c>
      <x:c r="G87" s="36" t="n">
        <x:v>46233</x:v>
      </x:c>
      <x:c r="H87" t="n">
        <x:v>20</x:v>
      </x:c>
      <x:c r="I87" t="str">
        <x:v>Pago em atraso</x:v>
      </x:c>
    </x:row>
    <x:row r="88">
      <x:c r="A88" t="str">
        <x:v>PAG-000087</x:v>
      </x:c>
      <x:c r="B88" t="str">
        <x:v>IMV-0010</x:v>
      </x:c>
      <x:c r="C88" s="38" t="n">
        <x:v>46174</x:v>
      </x:c>
      <x:c r="D88" s="32" t="n">
        <x:v>3550</x:v>
      </x:c>
      <x:c r="E88" s="32" t="n">
        <x:v>3550</x:v>
      </x:c>
      <x:c r="F88" s="36" t="n">
        <x:v>46183</x:v>
      </x:c>
      <x:c r="G88" s="36" t="n">
        <x:v>46203</x:v>
      </x:c>
      <x:c r="H88" t="n">
        <x:v>20</x:v>
      </x:c>
      <x:c r="I88" t="str">
        <x:v>Pago em atraso</x:v>
      </x:c>
    </x:row>
    <x:row r="89">
      <x:c r="A89" t="str">
        <x:v>PAG-000088</x:v>
      </x:c>
      <x:c r="B89" t="str">
        <x:v>IMV-0010</x:v>
      </x:c>
      <x:c r="C89" s="38" t="n">
        <x:v>46143</x:v>
      </x:c>
      <x:c r="D89" s="32" t="n">
        <x:v>3550</x:v>
      </x:c>
      <x:c r="E89" s="32" t="n">
        <x:v>3550</x:v>
      </x:c>
      <x:c r="F89" s="36" t="n">
        <x:v>46152</x:v>
      </x:c>
      <x:c r="G89" s="36" t="n">
        <x:v>46187</x:v>
      </x:c>
      <x:c r="H89" t="n">
        <x:v>35</x:v>
      </x:c>
      <x:c r="I89" t="str">
        <x:v>Pago em atraso</x:v>
      </x:c>
    </x:row>
    <x:row r="90">
      <x:c r="A90" t="str">
        <x:v>PAG-000089</x:v>
      </x:c>
      <x:c r="B90" t="str">
        <x:v>IMV-0010</x:v>
      </x:c>
      <x:c r="C90" s="38" t="n">
        <x:v>46113</x:v>
      </x:c>
      <x:c r="D90" s="32" t="n">
        <x:v>3550</x:v>
      </x:c>
      <x:c r="E90" s="32" t="n">
        <x:v>3550</x:v>
      </x:c>
      <x:c r="F90" s="36" t="n">
        <x:v>46122</x:v>
      </x:c>
      <x:c r="G90" s="36" t="n">
        <x:v>46129</x:v>
      </x:c>
      <x:c r="H90" t="n">
        <x:v>7</x:v>
      </x:c>
      <x:c r="I90" t="str">
        <x:v>Pago em atraso</x:v>
      </x:c>
    </x:row>
    <x:row r="91">
      <x:c r="A91" t="str">
        <x:v>PAG-000090</x:v>
      </x:c>
      <x:c r="B91" t="str">
        <x:v>IMV-0010</x:v>
      </x:c>
      <x:c r="C91" s="38" t="n">
        <x:v>46082</x:v>
      </x:c>
      <x:c r="D91" s="32" t="n">
        <x:v>3550</x:v>
      </x:c>
      <x:c r="E91" s="32" t="n">
        <x:v>3550</x:v>
      </x:c>
      <x:c r="F91" s="36" t="n">
        <x:v>46091</x:v>
      </x:c>
      <x:c r="G91" s="36" t="n">
        <x:v>46126</x:v>
      </x:c>
      <x:c r="H91" t="n">
        <x:v>35</x:v>
      </x:c>
      <x:c r="I91" t="str">
        <x:v>Pago em atraso</x:v>
      </x:c>
    </x:row>
    <x:row r="92">
      <x:c r="A92" t="str">
        <x:v>PAG-000091</x:v>
      </x:c>
      <x:c r="B92" t="str">
        <x:v>IMV-0010</x:v>
      </x:c>
      <x:c r="C92" s="38" t="n">
        <x:v>46054</x:v>
      </x:c>
      <x:c r="D92" s="32" t="n">
        <x:v>3550</x:v>
      </x:c>
      <x:c r="E92" s="32" t="n">
        <x:v>3550</x:v>
      </x:c>
      <x:c r="F92" s="36" t="n">
        <x:v>46063</x:v>
      </x:c>
      <x:c r="G92" s="36" t="n">
        <x:v>46083</x:v>
      </x:c>
      <x:c r="H92" t="n">
        <x:v>20</x:v>
      </x:c>
      <x:c r="I92" t="str">
        <x:v>Pago em atraso</x:v>
      </x:c>
    </x:row>
    <x:row r="93">
      <x:c r="A93" t="str">
        <x:v>PAG-000092</x:v>
      </x:c>
      <x:c r="B93" t="str">
        <x:v>IMV-0010</x:v>
      </x:c>
      <x:c r="C93" s="38" t="n">
        <x:v>46023</x:v>
      </x:c>
      <x:c r="D93" s="32" t="n">
        <x:v>3550</x:v>
      </x:c>
      <x:c r="E93" s="32" t="n">
        <x:v>3550</x:v>
      </x:c>
      <x:c r="F93" s="36" t="n">
        <x:v>46032</x:v>
      </x:c>
      <x:c r="G93" s="36" t="n">
        <x:v>46052</x:v>
      </x:c>
      <x:c r="H93" t="n">
        <x:v>20</x:v>
      </x:c>
      <x:c r="I93" t="str">
        <x:v>Pago em atraso</x:v>
      </x:c>
    </x:row>
    <x:row r="94">
      <x:c r="A94" t="str">
        <x:v>PAG-000093</x:v>
      </x:c>
      <x:c r="B94" t="str">
        <x:v>IMV-0010</x:v>
      </x:c>
      <x:c r="C94" s="38" t="n">
        <x:v>45992</x:v>
      </x:c>
      <x:c r="D94" s="32" t="n">
        <x:v>3550</x:v>
      </x:c>
      <x:c r="E94" s="32" t="n">
        <x:v>3550</x:v>
      </x:c>
      <x:c r="F94" s="36" t="n">
        <x:v>46001</x:v>
      </x:c>
      <x:c r="G94" s="36" t="n">
        <x:v>46036</x:v>
      </x:c>
      <x:c r="H94" t="n">
        <x:v>35</x:v>
      </x:c>
      <x:c r="I94" t="str">
        <x:v>Pago em atraso</x:v>
      </x:c>
    </x:row>
    <x:row r="95">
      <x:c r="A95" t="str">
        <x:v>PAG-000094</x:v>
      </x:c>
      <x:c r="B95" t="str">
        <x:v>IMV-0010</x:v>
      </x:c>
      <x:c r="C95" s="38" t="n">
        <x:v>45962</x:v>
      </x:c>
      <x:c r="D95" s="32" t="n">
        <x:v>3550</x:v>
      </x:c>
      <x:c r="E95" s="32" t="n">
        <x:v>3550</x:v>
      </x:c>
      <x:c r="F95" s="36" t="n">
        <x:v>45971</x:v>
      </x:c>
      <x:c r="G95" s="36" t="n">
        <x:v>46006</x:v>
      </x:c>
      <x:c r="H95" t="n">
        <x:v>35</x:v>
      </x:c>
      <x:c r="I95" t="str">
        <x:v>Pago em atraso</x:v>
      </x:c>
    </x:row>
    <x:row r="96">
      <x:c r="A96" t="str">
        <x:v>PAG-000095</x:v>
      </x:c>
      <x:c r="B96" t="str">
        <x:v>IMV-0010</x:v>
      </x:c>
      <x:c r="C96" s="38" t="n">
        <x:v>45931</x:v>
      </x:c>
      <x:c r="D96" s="32" t="n">
        <x:v>3550</x:v>
      </x:c>
      <x:c r="E96" s="32" t="n">
        <x:v>3550</x:v>
      </x:c>
      <x:c r="F96" s="36" t="n">
        <x:v>45940</x:v>
      </x:c>
      <x:c r="G96" s="36" t="n">
        <x:v>46000</x:v>
      </x:c>
      <x:c r="H96" t="n">
        <x:v>60</x:v>
      </x:c>
      <x:c r="I96" t="str">
        <x:v>Pago em atraso</x:v>
      </x:c>
    </x:row>
    <x:row r="97">
      <x:c r="A97" t="str">
        <x:v>PAG-000096</x:v>
      </x:c>
      <x:c r="B97" t="str">
        <x:v>IMV-0010</x:v>
      </x:c>
      <x:c r="C97" s="38" t="n">
        <x:v>45901</x:v>
      </x:c>
      <x:c r="D97" s="32" t="n">
        <x:v>3550</x:v>
      </x:c>
      <x:c r="E97" s="32" t="n">
        <x:v>3550</x:v>
      </x:c>
      <x:c r="F97" s="36" t="n">
        <x:v>45910</x:v>
      </x:c>
      <x:c r="G97" s="36" t="n">
        <x:v>45945</x:v>
      </x:c>
      <x:c r="H97" t="n">
        <x:v>35</x:v>
      </x:c>
      <x:c r="I97" t="str">
        <x:v>Pago em atraso</x:v>
      </x:c>
    </x:row>
    <x:row r="98">
      <x:c r="A98" t="str">
        <x:v>PAG-000097</x:v>
      </x:c>
      <x:c r="B98" t="str">
        <x:v>IMV-0011</x:v>
      </x:c>
      <x:c r="C98" s="38" t="n">
        <x:v>46235</x:v>
      </x:c>
      <x:c r="D98" s="32" t="n">
        <x:v>2450</x:v>
      </x:c>
      <x:c r="E98" s="32" t="n">
        <x:v>2450</x:v>
      </x:c>
      <x:c r="F98" s="36" t="n">
        <x:v>46244</x:v>
      </x:c>
      <x:c r="G98" s="36" t="n">
        <x:v>46247</x:v>
      </x:c>
      <x:c r="H98" t="n">
        <x:v>3</x:v>
      </x:c>
      <x:c r="I98" t="str">
        <x:v>Pago em atraso</x:v>
      </x:c>
    </x:row>
    <x:row r="99">
      <x:c r="A99" t="str">
        <x:v>PAG-000098</x:v>
      </x:c>
      <x:c r="B99" t="str">
        <x:v>IMV-0011</x:v>
      </x:c>
      <x:c r="C99" s="38" t="n">
        <x:v>46204</x:v>
      </x:c>
      <x:c r="D99" s="32" t="n">
        <x:v>2450</x:v>
      </x:c>
      <x:c r="E99" s="32" t="n">
        <x:v>2450</x:v>
      </x:c>
      <x:c r="F99" s="36" t="n">
        <x:v>46213</x:v>
      </x:c>
      <x:c r="G99" s="36" t="n">
        <x:v>46213</x:v>
      </x:c>
      <x:c r="H99" t="n">
        <x:v>0</x:v>
      </x:c>
      <x:c r="I99" t="str">
        <x:v>Pago em dia</x:v>
      </x:c>
    </x:row>
    <x:row r="100">
      <x:c r="A100" t="str">
        <x:v>PAG-000099</x:v>
      </x:c>
      <x:c r="B100" t="str">
        <x:v>IMV-0011</x:v>
      </x:c>
      <x:c r="C100" s="38" t="n">
        <x:v>46174</x:v>
      </x:c>
      <x:c r="D100" s="32" t="n">
        <x:v>2450</x:v>
      </x:c>
      <x:c r="E100" s="32" t="n">
        <x:v>2450</x:v>
      </x:c>
      <x:c r="F100" s="36" t="n">
        <x:v>46183</x:v>
      </x:c>
      <x:c r="G100" s="36" t="n">
        <x:v>46183</x:v>
      </x:c>
      <x:c r="H100" t="n">
        <x:v>0</x:v>
      </x:c>
      <x:c r="I100" t="str">
        <x:v>Pago em dia</x:v>
      </x:c>
    </x:row>
    <x:row r="101">
      <x:c r="A101" t="str">
        <x:v>PAG-000100</x:v>
      </x:c>
      <x:c r="B101" t="str">
        <x:v>IMV-0011</x:v>
      </x:c>
      <x:c r="C101" s="38" t="n">
        <x:v>46143</x:v>
      </x:c>
      <x:c r="D101" s="32" t="n">
        <x:v>2450</x:v>
      </x:c>
      <x:c r="E101" s="32" t="n">
        <x:v>2450</x:v>
      </x:c>
      <x:c r="F101" s="36" t="n">
        <x:v>46152</x:v>
      </x:c>
      <x:c r="G101" s="36" t="n">
        <x:v>46155</x:v>
      </x:c>
      <x:c r="H101" t="n">
        <x:v>3</x:v>
      </x:c>
      <x:c r="I101" t="str">
        <x:v>Pago em atraso</x:v>
      </x:c>
    </x:row>
    <x:row r="102">
      <x:c r="A102" t="str">
        <x:v>PAG-000101</x:v>
      </x:c>
      <x:c r="B102" t="str">
        <x:v>IMV-0011</x:v>
      </x:c>
      <x:c r="C102" s="38" t="n">
        <x:v>46113</x:v>
      </x:c>
      <x:c r="D102" s="32" t="n">
        <x:v>2450</x:v>
      </x:c>
      <x:c r="E102" s="32" t="n">
        <x:v>2450</x:v>
      </x:c>
      <x:c r="F102" s="36" t="n">
        <x:v>46122</x:v>
      </x:c>
      <x:c r="G102" s="36" t="n">
        <x:v>46134</x:v>
      </x:c>
      <x:c r="H102" t="n">
        <x:v>12</x:v>
      </x:c>
      <x:c r="I102" t="str">
        <x:v>Pago em atraso</x:v>
      </x:c>
    </x:row>
    <x:row r="103">
      <x:c r="A103" t="str">
        <x:v>PAG-000102</x:v>
      </x:c>
      <x:c r="B103" t="str">
        <x:v>IMV-0011</x:v>
      </x:c>
      <x:c r="C103" s="38" t="n">
        <x:v>46082</x:v>
      </x:c>
      <x:c r="D103" s="32" t="n">
        <x:v>2450</x:v>
      </x:c>
      <x:c r="E103" s="32" t="n">
        <x:v>2450</x:v>
      </x:c>
      <x:c r="F103" s="36" t="n">
        <x:v>46091</x:v>
      </x:c>
      <x:c r="G103" s="36" t="n">
        <x:v>46091</x:v>
      </x:c>
      <x:c r="H103" t="n">
        <x:v>0</x:v>
      </x:c>
      <x:c r="I103" t="str">
        <x:v>Pago em dia</x:v>
      </x:c>
    </x:row>
    <x:row r="104">
      <x:c r="A104" t="str">
        <x:v>PAG-000103</x:v>
      </x:c>
      <x:c r="B104" t="str">
        <x:v>IMV-0011</x:v>
      </x:c>
      <x:c r="C104" s="38" t="n">
        <x:v>46054</x:v>
      </x:c>
      <x:c r="D104" s="32" t="n">
        <x:v>2450</x:v>
      </x:c>
      <x:c r="E104" s="32" t="n">
        <x:v>2450</x:v>
      </x:c>
      <x:c r="F104" s="36" t="n">
        <x:v>46063</x:v>
      </x:c>
      <x:c r="G104" s="36" t="n">
        <x:v>46063</x:v>
      </x:c>
      <x:c r="H104" t="n">
        <x:v>0</x:v>
      </x:c>
      <x:c r="I104" t="str">
        <x:v>Pago em dia</x:v>
      </x:c>
    </x:row>
    <x:row r="105">
      <x:c r="A105" t="str">
        <x:v>PAG-000104</x:v>
      </x:c>
      <x:c r="B105" t="str">
        <x:v>IMV-0011</x:v>
      </x:c>
      <x:c r="C105" s="38" t="n">
        <x:v>46023</x:v>
      </x:c>
      <x:c r="D105" s="32" t="n">
        <x:v>2450</x:v>
      </x:c>
      <x:c r="E105" s="32" t="n">
        <x:v>2450</x:v>
      </x:c>
      <x:c r="F105" s="36" t="n">
        <x:v>46032</x:v>
      </x:c>
      <x:c r="G105" s="36" t="n">
        <x:v>46052</x:v>
      </x:c>
      <x:c r="H105" t="n">
        <x:v>20</x:v>
      </x:c>
      <x:c r="I105" t="str">
        <x:v>Pago em atraso</x:v>
      </x:c>
    </x:row>
    <x:row r="106">
      <x:c r="A106" t="str">
        <x:v>PAG-000105</x:v>
      </x:c>
      <x:c r="B106" t="str">
        <x:v>IMV-0011</x:v>
      </x:c>
      <x:c r="C106" s="38" t="n">
        <x:v>45992</x:v>
      </x:c>
      <x:c r="D106" s="32" t="n">
        <x:v>2450</x:v>
      </x:c>
      <x:c r="E106" s="32" t="n">
        <x:v>2450</x:v>
      </x:c>
      <x:c r="F106" s="36" t="n">
        <x:v>46001</x:v>
      </x:c>
      <x:c r="G106" s="36" t="n">
        <x:v>46001</x:v>
      </x:c>
      <x:c r="H106" t="n">
        <x:v>0</x:v>
      </x:c>
      <x:c r="I106" t="str">
        <x:v>Pago em dia</x:v>
      </x:c>
    </x:row>
    <x:row r="107">
      <x:c r="A107" t="str">
        <x:v>PAG-000106</x:v>
      </x:c>
      <x:c r="B107" t="str">
        <x:v>IMV-0011</x:v>
      </x:c>
      <x:c r="C107" s="38" t="n">
        <x:v>45962</x:v>
      </x:c>
      <x:c r="D107" s="32" t="n">
        <x:v>2450</x:v>
      </x:c>
      <x:c r="E107" s="32" t="n">
        <x:v>2450</x:v>
      </x:c>
      <x:c r="F107" s="36" t="n">
        <x:v>45971</x:v>
      </x:c>
      <x:c r="G107" s="36" t="n">
        <x:v>45983</x:v>
      </x:c>
      <x:c r="H107" t="n">
        <x:v>12</x:v>
      </x:c>
      <x:c r="I107" t="str">
        <x:v>Pago em atraso</x:v>
      </x:c>
    </x:row>
    <x:row r="108">
      <x:c r="A108" t="str">
        <x:v>PAG-000107</x:v>
      </x:c>
      <x:c r="B108" t="str">
        <x:v>IMV-0011</x:v>
      </x:c>
      <x:c r="C108" s="38" t="n">
        <x:v>45931</x:v>
      </x:c>
      <x:c r="D108" s="32" t="n">
        <x:v>2450</x:v>
      </x:c>
      <x:c r="E108" s="32" t="n">
        <x:v>2450</x:v>
      </x:c>
      <x:c r="F108" s="36" t="n">
        <x:v>45940</x:v>
      </x:c>
      <x:c r="G108" s="36" t="n">
        <x:v>45952</x:v>
      </x:c>
      <x:c r="H108" t="n">
        <x:v>12</x:v>
      </x:c>
      <x:c r="I108" t="str">
        <x:v>Pago em atraso</x:v>
      </x:c>
    </x:row>
    <x:row r="109">
      <x:c r="A109" t="str">
        <x:v>PAG-000108</x:v>
      </x:c>
      <x:c r="B109" t="str">
        <x:v>IMV-0011</x:v>
      </x:c>
      <x:c r="C109" s="38" t="n">
        <x:v>45901</x:v>
      </x:c>
      <x:c r="D109" s="32" t="n">
        <x:v>2450</x:v>
      </x:c>
      <x:c r="E109" s="32" t="n">
        <x:v>2450</x:v>
      </x:c>
      <x:c r="F109" s="36" t="n">
        <x:v>45910</x:v>
      </x:c>
      <x:c r="G109" s="36" t="n">
        <x:v>45910</x:v>
      </x:c>
      <x:c r="H109" t="n">
        <x:v>0</x:v>
      </x:c>
      <x:c r="I109" t="str">
        <x:v>Pago em dia</x:v>
      </x:c>
    </x:row>
    <x:row r="110">
      <x:c r="A110" t="str">
        <x:v>PAG-000109</x:v>
      </x:c>
      <x:c r="B110" t="str">
        <x:v>IMV-0012</x:v>
      </x:c>
      <x:c r="C110" s="38" t="n">
        <x:v>46235</x:v>
      </x:c>
      <x:c r="D110" s="32" t="n">
        <x:v>1250</x:v>
      </x:c>
      <x:c r="E110" s="32" t="n">
        <x:v>1250</x:v>
      </x:c>
      <x:c r="F110" s="36" t="n">
        <x:v>46244</x:v>
      </x:c>
      <x:c r="G110" s="36" t="n">
        <x:v>46244</x:v>
      </x:c>
      <x:c r="H110" t="n">
        <x:v>0</x:v>
      </x:c>
      <x:c r="I110" t="str">
        <x:v>Pago em dia</x:v>
      </x:c>
    </x:row>
    <x:row r="111">
      <x:c r="A111" t="str">
        <x:v>PAG-000110</x:v>
      </x:c>
      <x:c r="B111" t="str">
        <x:v>IMV-0012</x:v>
      </x:c>
      <x:c r="C111" s="38" t="n">
        <x:v>46204</x:v>
      </x:c>
      <x:c r="D111" s="32" t="n">
        <x:v>1250</x:v>
      </x:c>
      <x:c r="E111" s="32" t="n">
        <x:v>1250</x:v>
      </x:c>
      <x:c r="F111" s="36" t="n">
        <x:v>46213</x:v>
      </x:c>
      <x:c r="G111" s="36" t="n">
        <x:v>46213</x:v>
      </x:c>
      <x:c r="H111" t="n">
        <x:v>0</x:v>
      </x:c>
      <x:c r="I111" t="str">
        <x:v>Pago em dia</x:v>
      </x:c>
    </x:row>
    <x:row r="112">
      <x:c r="A112" t="str">
        <x:v>PAG-000111</x:v>
      </x:c>
      <x:c r="B112" t="str">
        <x:v>IMV-0012</x:v>
      </x:c>
      <x:c r="C112" s="38" t="n">
        <x:v>46174</x:v>
      </x:c>
      <x:c r="D112" s="32" t="n">
        <x:v>1250</x:v>
      </x:c>
      <x:c r="E112" s="32" t="n">
        <x:v>1250</x:v>
      </x:c>
      <x:c r="F112" s="36" t="n">
        <x:v>46183</x:v>
      </x:c>
      <x:c r="G112" s="36" t="n">
        <x:v>46186</x:v>
      </x:c>
      <x:c r="H112" t="n">
        <x:v>3</x:v>
      </x:c>
      <x:c r="I112" t="str">
        <x:v>Pago em atraso</x:v>
      </x:c>
    </x:row>
    <x:row r="113">
      <x:c r="A113" t="str">
        <x:v>PAG-000112</x:v>
      </x:c>
      <x:c r="B113" t="str">
        <x:v>IMV-0012</x:v>
      </x:c>
      <x:c r="C113" s="38" t="n">
        <x:v>46143</x:v>
      </x:c>
      <x:c r="D113" s="32" t="n">
        <x:v>1250</x:v>
      </x:c>
      <x:c r="E113" s="32" t="n">
        <x:v>1250</x:v>
      </x:c>
      <x:c r="F113" s="36" t="n">
        <x:v>46152</x:v>
      </x:c>
      <x:c r="G113" s="36" t="n">
        <x:v>46152</x:v>
      </x:c>
      <x:c r="H113" t="n">
        <x:v>0</x:v>
      </x:c>
      <x:c r="I113" t="str">
        <x:v>Pago em dia</x:v>
      </x:c>
    </x:row>
    <x:row r="114">
      <x:c r="A114" t="str">
        <x:v>PAG-000113</x:v>
      </x:c>
      <x:c r="B114" t="str">
        <x:v>IMV-0012</x:v>
      </x:c>
      <x:c r="C114" s="38" t="n">
        <x:v>46113</x:v>
      </x:c>
      <x:c r="D114" s="32" t="n">
        <x:v>1250</x:v>
      </x:c>
      <x:c r="E114" s="32" t="n">
        <x:v>1250</x:v>
      </x:c>
      <x:c r="F114" s="36" t="n">
        <x:v>46122</x:v>
      </x:c>
      <x:c r="G114" s="36" t="n">
        <x:v>46122</x:v>
      </x:c>
      <x:c r="H114" t="n">
        <x:v>0</x:v>
      </x:c>
      <x:c r="I114" t="str">
        <x:v>Pago em dia</x:v>
      </x:c>
    </x:row>
    <x:row r="115">
      <x:c r="A115" t="str">
        <x:v>PAG-000114</x:v>
      </x:c>
      <x:c r="B115" t="str">
        <x:v>IMV-0012</x:v>
      </x:c>
      <x:c r="C115" s="38" t="n">
        <x:v>46082</x:v>
      </x:c>
      <x:c r="D115" s="32" t="n">
        <x:v>1250</x:v>
      </x:c>
      <x:c r="E115" s="32" t="n">
        <x:v>1250</x:v>
      </x:c>
      <x:c r="F115" s="36" t="n">
        <x:v>46091</x:v>
      </x:c>
      <x:c r="G115" s="36" t="n">
        <x:v>46093</x:v>
      </x:c>
      <x:c r="H115" t="n">
        <x:v>2</x:v>
      </x:c>
      <x:c r="I115" t="str">
        <x:v>Pago em atraso</x:v>
      </x:c>
    </x:row>
    <x:row r="116">
      <x:c r="A116" t="str">
        <x:v>PAG-000115</x:v>
      </x:c>
      <x:c r="B116" t="str">
        <x:v>IMV-0012</x:v>
      </x:c>
      <x:c r="C116" s="38" t="n">
        <x:v>46054</x:v>
      </x:c>
      <x:c r="D116" s="32" t="n">
        <x:v>1250</x:v>
      </x:c>
      <x:c r="E116" s="32" t="n">
        <x:v>1250</x:v>
      </x:c>
      <x:c r="F116" s="36" t="n">
        <x:v>46063</x:v>
      </x:c>
      <x:c r="G116" s="36" t="n">
        <x:v>46063</x:v>
      </x:c>
      <x:c r="H116" t="n">
        <x:v>0</x:v>
      </x:c>
      <x:c r="I116" t="str">
        <x:v>Pago em dia</x:v>
      </x:c>
    </x:row>
    <x:row r="117">
      <x:c r="A117" t="str">
        <x:v>PAG-000116</x:v>
      </x:c>
      <x:c r="B117" t="str">
        <x:v>IMV-0012</x:v>
      </x:c>
      <x:c r="C117" s="38" t="n">
        <x:v>46023</x:v>
      </x:c>
      <x:c r="D117" s="32" t="n">
        <x:v>1250</x:v>
      </x:c>
      <x:c r="E117" s="32" t="n">
        <x:v>1250</x:v>
      </x:c>
      <x:c r="F117" s="36" t="n">
        <x:v>46032</x:v>
      </x:c>
      <x:c r="G117" s="36" t="n">
        <x:v>46032</x:v>
      </x:c>
      <x:c r="H117" t="n">
        <x:v>0</x:v>
      </x:c>
      <x:c r="I117" t="str">
        <x:v>Pago em dia</x:v>
      </x:c>
    </x:row>
    <x:row r="118">
      <x:c r="A118" t="str">
        <x:v>PAG-000117</x:v>
      </x:c>
      <x:c r="B118" t="str">
        <x:v>IMV-0012</x:v>
      </x:c>
      <x:c r="C118" s="38" t="n">
        <x:v>45992</x:v>
      </x:c>
      <x:c r="D118" s="32" t="n">
        <x:v>1250</x:v>
      </x:c>
      <x:c r="E118" s="32" t="n">
        <x:v>1250</x:v>
      </x:c>
      <x:c r="F118" s="36" t="n">
        <x:v>46001</x:v>
      </x:c>
      <x:c r="G118" s="36" t="n">
        <x:v>46001</x:v>
      </x:c>
      <x:c r="H118" t="n">
        <x:v>0</x:v>
      </x:c>
      <x:c r="I118" t="str">
        <x:v>Pago em dia</x:v>
      </x:c>
    </x:row>
    <x:row r="119">
      <x:c r="A119" t="str">
        <x:v>PAG-000118</x:v>
      </x:c>
      <x:c r="B119" t="str">
        <x:v>IMV-0012</x:v>
      </x:c>
      <x:c r="C119" s="38" t="n">
        <x:v>45962</x:v>
      </x:c>
      <x:c r="D119" s="32" t="n">
        <x:v>1250</x:v>
      </x:c>
      <x:c r="E119" s="32" t="n">
        <x:v>1250</x:v>
      </x:c>
      <x:c r="F119" s="36" t="n">
        <x:v>45971</x:v>
      </x:c>
      <x:c r="G119" s="36" t="n">
        <x:v>45971</x:v>
      </x:c>
      <x:c r="H119" t="n">
        <x:v>0</x:v>
      </x:c>
      <x:c r="I119" t="str">
        <x:v>Pago em dia</x:v>
      </x:c>
    </x:row>
    <x:row r="120">
      <x:c r="A120" t="str">
        <x:v>PAG-000119</x:v>
      </x:c>
      <x:c r="B120" t="str">
        <x:v>IMV-0012</x:v>
      </x:c>
      <x:c r="C120" s="38" t="n">
        <x:v>45931</x:v>
      </x:c>
      <x:c r="D120" s="32" t="n">
        <x:v>1250</x:v>
      </x:c>
      <x:c r="E120" s="32" t="n">
        <x:v>1250</x:v>
      </x:c>
      <x:c r="F120" s="36" t="n">
        <x:v>45940</x:v>
      </x:c>
      <x:c r="G120" s="36" t="n">
        <x:v>45942</x:v>
      </x:c>
      <x:c r="H120" t="n">
        <x:v>2</x:v>
      </x:c>
      <x:c r="I120" t="str">
        <x:v>Pago em atraso</x:v>
      </x:c>
    </x:row>
    <x:row r="121">
      <x:c r="A121" t="str">
        <x:v>PAG-000120</x:v>
      </x:c>
      <x:c r="B121" t="str">
        <x:v>IMV-0012</x:v>
      </x:c>
      <x:c r="C121" s="38" t="n">
        <x:v>45901</x:v>
      </x:c>
      <x:c r="D121" s="32" t="n">
        <x:v>1250</x:v>
      </x:c>
      <x:c r="E121" s="32" t="n">
        <x:v>1250</x:v>
      </x:c>
      <x:c r="F121" s="36" t="n">
        <x:v>45910</x:v>
      </x:c>
      <x:c r="G121" s="36" t="n">
        <x:v>45910</x:v>
      </x:c>
      <x:c r="H121" t="n">
        <x:v>0</x:v>
      </x:c>
      <x:c r="I121" t="str">
        <x:v>Pago em dia</x:v>
      </x:c>
    </x:row>
    <x:row r="122">
      <x:c r="A122" t="str">
        <x:v>PAG-000121</x:v>
      </x:c>
      <x:c r="B122" t="str">
        <x:v>IMV-0013</x:v>
      </x:c>
      <x:c r="C122" s="38" t="n">
        <x:v>46235</x:v>
      </x:c>
      <x:c r="D122" s="32" t="n">
        <x:v>3200</x:v>
      </x:c>
      <x:c r="E122" s="32" t="n">
        <x:v>3200</x:v>
      </x:c>
      <x:c r="F122" s="36" t="n">
        <x:v>46244</x:v>
      </x:c>
      <x:c r="G122" s="36" t="n">
        <x:v>46256</x:v>
      </x:c>
      <x:c r="H122" t="n">
        <x:v>12</x:v>
      </x:c>
      <x:c r="I122" t="str">
        <x:v>Pago em atraso</x:v>
      </x:c>
    </x:row>
    <x:row r="123">
      <x:c r="A123" t="str">
        <x:v>PAG-000122</x:v>
      </x:c>
      <x:c r="B123" t="str">
        <x:v>IMV-0013</x:v>
      </x:c>
      <x:c r="C123" s="38" t="n">
        <x:v>46204</x:v>
      </x:c>
      <x:c r="D123" s="32" t="n">
        <x:v>3200</x:v>
      </x:c>
      <x:c r="E123" s="32" t="n">
        <x:v>3200</x:v>
      </x:c>
      <x:c r="F123" s="36" t="n">
        <x:v>46213</x:v>
      </x:c>
      <x:c r="G123" s="36" t="n">
        <x:v>46213</x:v>
      </x:c>
      <x:c r="H123" t="n">
        <x:v>0</x:v>
      </x:c>
      <x:c r="I123" t="str">
        <x:v>Pago em dia</x:v>
      </x:c>
    </x:row>
    <x:row r="124">
      <x:c r="A124" t="str">
        <x:v>PAG-000123</x:v>
      </x:c>
      <x:c r="B124" t="str">
        <x:v>IMV-0013</x:v>
      </x:c>
      <x:c r="C124" s="38" t="n">
        <x:v>46174</x:v>
      </x:c>
      <x:c r="D124" s="32" t="n">
        <x:v>3200</x:v>
      </x:c>
      <x:c r="E124" s="32" t="n">
        <x:v>3200</x:v>
      </x:c>
      <x:c r="F124" s="36" t="n">
        <x:v>46183</x:v>
      </x:c>
      <x:c r="G124" s="36" t="n">
        <x:v>46190</x:v>
      </x:c>
      <x:c r="H124" t="n">
        <x:v>7</x:v>
      </x:c>
      <x:c r="I124" t="str">
        <x:v>Pago em atraso</x:v>
      </x:c>
    </x:row>
    <x:row r="125">
      <x:c r="A125" t="str">
        <x:v>PAG-000124</x:v>
      </x:c>
      <x:c r="B125" t="str">
        <x:v>IMV-0013</x:v>
      </x:c>
      <x:c r="C125" s="38" t="n">
        <x:v>46143</x:v>
      </x:c>
      <x:c r="D125" s="32" t="n">
        <x:v>3200</x:v>
      </x:c>
      <x:c r="E125" s="32" t="n">
        <x:v>3200</x:v>
      </x:c>
      <x:c r="F125" s="36" t="n">
        <x:v>46152</x:v>
      </x:c>
      <x:c r="G125" s="36" t="n">
        <x:v>46152</x:v>
      </x:c>
      <x:c r="H125" t="n">
        <x:v>0</x:v>
      </x:c>
      <x:c r="I125" t="str">
        <x:v>Pago em dia</x:v>
      </x:c>
    </x:row>
    <x:row r="126">
      <x:c r="A126" t="str">
        <x:v>PAG-000125</x:v>
      </x:c>
      <x:c r="B126" t="str">
        <x:v>IMV-0013</x:v>
      </x:c>
      <x:c r="C126" s="38" t="n">
        <x:v>46113</x:v>
      </x:c>
      <x:c r="D126" s="32" t="n">
        <x:v>3200</x:v>
      </x:c>
      <x:c r="E126" s="32" t="n">
        <x:v>3200</x:v>
      </x:c>
      <x:c r="F126" s="36" t="n">
        <x:v>46122</x:v>
      </x:c>
      <x:c r="G126" s="36" t="n">
        <x:v>46125</x:v>
      </x:c>
      <x:c r="H126" t="n">
        <x:v>3</x:v>
      </x:c>
      <x:c r="I126" t="str">
        <x:v>Pago em atraso</x:v>
      </x:c>
    </x:row>
    <x:row r="127">
      <x:c r="A127" t="str">
        <x:v>PAG-000126</x:v>
      </x:c>
      <x:c r="B127" t="str">
        <x:v>IMV-0013</x:v>
      </x:c>
      <x:c r="C127" s="38" t="n">
        <x:v>46082</x:v>
      </x:c>
      <x:c r="D127" s="32" t="n">
        <x:v>3200</x:v>
      </x:c>
      <x:c r="E127" s="32" t="n">
        <x:v>3200</x:v>
      </x:c>
      <x:c r="F127" s="36" t="n">
        <x:v>46091</x:v>
      </x:c>
      <x:c r="G127" s="36" t="n">
        <x:v>46098</x:v>
      </x:c>
      <x:c r="H127" t="n">
        <x:v>7</x:v>
      </x:c>
      <x:c r="I127" t="str">
        <x:v>Pago em atraso</x:v>
      </x:c>
    </x:row>
    <x:row r="128">
      <x:c r="A128" t="str">
        <x:v>PAG-000127</x:v>
      </x:c>
      <x:c r="B128" t="str">
        <x:v>IMV-0013</x:v>
      </x:c>
      <x:c r="C128" s="38" t="n">
        <x:v>46054</x:v>
      </x:c>
      <x:c r="D128" s="32" t="n">
        <x:v>3200</x:v>
      </x:c>
      <x:c r="E128" s="32" t="n">
        <x:v>3200</x:v>
      </x:c>
      <x:c r="F128" s="36" t="n">
        <x:v>46063</x:v>
      </x:c>
      <x:c r="G128" s="36" t="n">
        <x:v>46063</x:v>
      </x:c>
      <x:c r="H128" t="n">
        <x:v>0</x:v>
      </x:c>
      <x:c r="I128" t="str">
        <x:v>Pago em dia</x:v>
      </x:c>
    </x:row>
    <x:row r="129">
      <x:c r="A129" t="str">
        <x:v>PAG-000128</x:v>
      </x:c>
      <x:c r="B129" t="str">
        <x:v>IMV-0013</x:v>
      </x:c>
      <x:c r="C129" s="38" t="n">
        <x:v>46023</x:v>
      </x:c>
      <x:c r="D129" s="32" t="n">
        <x:v>3200</x:v>
      </x:c>
      <x:c r="E129" s="32" t="n">
        <x:v>3200</x:v>
      </x:c>
      <x:c r="F129" s="36" t="n">
        <x:v>46032</x:v>
      </x:c>
      <x:c r="G129" s="36" t="n">
        <x:v>46032</x:v>
      </x:c>
      <x:c r="H129" t="n">
        <x:v>0</x:v>
      </x:c>
      <x:c r="I129" t="str">
        <x:v>Pago em dia</x:v>
      </x:c>
    </x:row>
    <x:row r="130">
      <x:c r="A130" t="str">
        <x:v>PAG-000129</x:v>
      </x:c>
      <x:c r="B130" t="str">
        <x:v>IMV-0013</x:v>
      </x:c>
      <x:c r="C130" s="38" t="n">
        <x:v>45992</x:v>
      </x:c>
      <x:c r="D130" s="32" t="n">
        <x:v>3200</x:v>
      </x:c>
      <x:c r="E130" s="32" t="n">
        <x:v>3200</x:v>
      </x:c>
      <x:c r="F130" s="36" t="n">
        <x:v>46001</x:v>
      </x:c>
      <x:c r="G130" s="36" t="n">
        <x:v>46004</x:v>
      </x:c>
      <x:c r="H130" t="n">
        <x:v>3</x:v>
      </x:c>
      <x:c r="I130" t="str">
        <x:v>Pago em atraso</x:v>
      </x:c>
    </x:row>
    <x:row r="131">
      <x:c r="A131" t="str">
        <x:v>PAG-000130</x:v>
      </x:c>
      <x:c r="B131" t="str">
        <x:v>IMV-0013</x:v>
      </x:c>
      <x:c r="C131" s="38" t="n">
        <x:v>45962</x:v>
      </x:c>
      <x:c r="D131" s="32" t="n">
        <x:v>3200</x:v>
      </x:c>
      <x:c r="E131" s="32" t="n">
        <x:v>3200</x:v>
      </x:c>
      <x:c r="F131" s="36" t="n">
        <x:v>45971</x:v>
      </x:c>
      <x:c r="G131" s="36" t="n">
        <x:v>45974</x:v>
      </x:c>
      <x:c r="H131" t="n">
        <x:v>3</x:v>
      </x:c>
      <x:c r="I131" t="str">
        <x:v>Pago em atraso</x:v>
      </x:c>
    </x:row>
    <x:row r="132">
      <x:c r="A132" t="str">
        <x:v>PAG-000131</x:v>
      </x:c>
      <x:c r="B132" t="str">
        <x:v>IMV-0013</x:v>
      </x:c>
      <x:c r="C132" s="38" t="n">
        <x:v>45931</x:v>
      </x:c>
      <x:c r="D132" s="32" t="n">
        <x:v>3200</x:v>
      </x:c>
      <x:c r="E132" s="32" t="n">
        <x:v>3200</x:v>
      </x:c>
      <x:c r="F132" s="36" t="n">
        <x:v>45940</x:v>
      </x:c>
      <x:c r="G132" s="36" t="n">
        <x:v>45943</x:v>
      </x:c>
      <x:c r="H132" t="n">
        <x:v>3</x:v>
      </x:c>
      <x:c r="I132" t="str">
        <x:v>Pago em atraso</x:v>
      </x:c>
    </x:row>
    <x:row r="133">
      <x:c r="A133" t="str">
        <x:v>PAG-000132</x:v>
      </x:c>
      <x:c r="B133" t="str">
        <x:v>IMV-0013</x:v>
      </x:c>
      <x:c r="C133" s="38" t="n">
        <x:v>45901</x:v>
      </x:c>
      <x:c r="D133" s="32" t="n">
        <x:v>3200</x:v>
      </x:c>
      <x:c r="E133" s="32" t="n">
        <x:v>3200</x:v>
      </x:c>
      <x:c r="F133" s="36" t="n">
        <x:v>45910</x:v>
      </x:c>
      <x:c r="G133" s="36" t="n">
        <x:v>45910</x:v>
      </x:c>
      <x:c r="H133" t="n">
        <x:v>0</x:v>
      </x:c>
      <x:c r="I133" t="str">
        <x:v>Pago em dia</x:v>
      </x:c>
    </x:row>
    <x:row r="134">
      <x:c r="A134" t="str">
        <x:v>PAG-000133</x:v>
      </x:c>
      <x:c r="B134" t="str">
        <x:v>IMV-0014</x:v>
      </x:c>
      <x:c r="C134" s="38" t="n">
        <x:v>46235</x:v>
      </x:c>
      <x:c r="D134" s="32" t="n">
        <x:v>5550</x:v>
      </x:c>
      <x:c r="E134" s="32" t="n">
        <x:v>5550</x:v>
      </x:c>
      <x:c r="F134" s="36" t="n">
        <x:v>46244</x:v>
      </x:c>
      <x:c r="G134" s="36" t="n">
        <x:v>46244</x:v>
      </x:c>
      <x:c r="H134" t="n">
        <x:v>0</x:v>
      </x:c>
      <x:c r="I134" t="str">
        <x:v>Pago em dia</x:v>
      </x:c>
    </x:row>
    <x:row r="135">
      <x:c r="A135" t="str">
        <x:v>PAG-000134</x:v>
      </x:c>
      <x:c r="B135" t="str">
        <x:v>IMV-0014</x:v>
      </x:c>
      <x:c r="C135" s="38" t="n">
        <x:v>46204</x:v>
      </x:c>
      <x:c r="D135" s="32" t="n">
        <x:v>5550</x:v>
      </x:c>
      <x:c r="E135" s="32" t="n">
        <x:v>5550</x:v>
      </x:c>
      <x:c r="F135" s="36" t="n">
        <x:v>46213</x:v>
      </x:c>
      <x:c r="G135" s="36" t="n">
        <x:v>46213</x:v>
      </x:c>
      <x:c r="H135" t="n">
        <x:v>0</x:v>
      </x:c>
      <x:c r="I135" t="str">
        <x:v>Pago em dia</x:v>
      </x:c>
    </x:row>
    <x:row r="136">
      <x:c r="A136" t="str">
        <x:v>PAG-000135</x:v>
      </x:c>
      <x:c r="B136" t="str">
        <x:v>IMV-0014</x:v>
      </x:c>
      <x:c r="C136" s="38" t="n">
        <x:v>46174</x:v>
      </x:c>
      <x:c r="D136" s="32" t="n">
        <x:v>5550</x:v>
      </x:c>
      <x:c r="E136" s="32" t="n">
        <x:v>5550</x:v>
      </x:c>
      <x:c r="F136" s="36" t="n">
        <x:v>46183</x:v>
      </x:c>
      <x:c r="G136" s="36" t="n">
        <x:v>46183</x:v>
      </x:c>
      <x:c r="H136" t="n">
        <x:v>0</x:v>
      </x:c>
      <x:c r="I136" t="str">
        <x:v>Pago em dia</x:v>
      </x:c>
    </x:row>
    <x:row r="137">
      <x:c r="A137" t="str">
        <x:v>PAG-000136</x:v>
      </x:c>
      <x:c r="B137" t="str">
        <x:v>IMV-0014</x:v>
      </x:c>
      <x:c r="C137" s="38" t="n">
        <x:v>46143</x:v>
      </x:c>
      <x:c r="D137" s="32" t="n">
        <x:v>5550</x:v>
      </x:c>
      <x:c r="E137" s="32" t="n">
        <x:v>5550</x:v>
      </x:c>
      <x:c r="F137" s="36" t="n">
        <x:v>46152</x:v>
      </x:c>
      <x:c r="G137" s="36" t="n">
        <x:v>46154</x:v>
      </x:c>
      <x:c r="H137" t="n">
        <x:v>2</x:v>
      </x:c>
      <x:c r="I137" t="str">
        <x:v>Pago em atraso</x:v>
      </x:c>
    </x:row>
    <x:row r="138">
      <x:c r="A138" t="str">
        <x:v>PAG-000137</x:v>
      </x:c>
      <x:c r="B138" t="str">
        <x:v>IMV-0014</x:v>
      </x:c>
      <x:c r="C138" s="38" t="n">
        <x:v>46113</x:v>
      </x:c>
      <x:c r="D138" s="32" t="n">
        <x:v>5550</x:v>
      </x:c>
      <x:c r="E138" s="32" t="n">
        <x:v>5550</x:v>
      </x:c>
      <x:c r="F138" s="36" t="n">
        <x:v>46122</x:v>
      </x:c>
      <x:c r="G138" s="36" t="n">
        <x:v>46122</x:v>
      </x:c>
      <x:c r="H138" t="n">
        <x:v>0</x:v>
      </x:c>
      <x:c r="I138" t="str">
        <x:v>Pago em dia</x:v>
      </x:c>
    </x:row>
    <x:row r="139">
      <x:c r="A139" t="str">
        <x:v>PAG-000138</x:v>
      </x:c>
      <x:c r="B139" t="str">
        <x:v>IMV-0014</x:v>
      </x:c>
      <x:c r="C139" s="38" t="n">
        <x:v>46082</x:v>
      </x:c>
      <x:c r="D139" s="32" t="n">
        <x:v>5550</x:v>
      </x:c>
      <x:c r="E139" s="32" t="n">
        <x:v>5550</x:v>
      </x:c>
      <x:c r="F139" s="36" t="n">
        <x:v>46091</x:v>
      </x:c>
      <x:c r="G139" s="36" t="n">
        <x:v>46091</x:v>
      </x:c>
      <x:c r="H139" t="n">
        <x:v>0</x:v>
      </x:c>
      <x:c r="I139" t="str">
        <x:v>Pago em dia</x:v>
      </x:c>
    </x:row>
    <x:row r="140">
      <x:c r="A140" t="str">
        <x:v>PAG-000139</x:v>
      </x:c>
      <x:c r="B140" t="str">
        <x:v>IMV-0014</x:v>
      </x:c>
      <x:c r="C140" s="38" t="n">
        <x:v>46054</x:v>
      </x:c>
      <x:c r="D140" s="32" t="n">
        <x:v>5550</x:v>
      </x:c>
      <x:c r="E140" s="32" t="n">
        <x:v>5550</x:v>
      </x:c>
      <x:c r="F140" s="36" t="n">
        <x:v>46063</x:v>
      </x:c>
      <x:c r="G140" s="36" t="n">
        <x:v>46063</x:v>
      </x:c>
      <x:c r="H140" t="n">
        <x:v>0</x:v>
      </x:c>
      <x:c r="I140" t="str">
        <x:v>Pago em dia</x:v>
      </x:c>
    </x:row>
    <x:row r="141">
      <x:c r="A141" t="str">
        <x:v>PAG-000140</x:v>
      </x:c>
      <x:c r="B141" t="str">
        <x:v>IMV-0014</x:v>
      </x:c>
      <x:c r="C141" s="38" t="n">
        <x:v>46023</x:v>
      </x:c>
      <x:c r="D141" s="32" t="n">
        <x:v>5550</x:v>
      </x:c>
      <x:c r="E141" s="32" t="n">
        <x:v>5550</x:v>
      </x:c>
      <x:c r="F141" s="36" t="n">
        <x:v>46032</x:v>
      </x:c>
      <x:c r="G141" s="36" t="n">
        <x:v>46032</x:v>
      </x:c>
      <x:c r="H141" t="n">
        <x:v>0</x:v>
      </x:c>
      <x:c r="I141" t="str">
        <x:v>Pago em dia</x:v>
      </x:c>
    </x:row>
    <x:row r="142">
      <x:c r="A142" t="str">
        <x:v>PAG-000141</x:v>
      </x:c>
      <x:c r="B142" t="str">
        <x:v>IMV-0014</x:v>
      </x:c>
      <x:c r="C142" s="38" t="n">
        <x:v>45992</x:v>
      </x:c>
      <x:c r="D142" s="32" t="n">
        <x:v>5550</x:v>
      </x:c>
      <x:c r="E142" s="32" t="n">
        <x:v>5550</x:v>
      </x:c>
      <x:c r="F142" s="36" t="n">
        <x:v>46001</x:v>
      </x:c>
      <x:c r="G142" s="36" t="n">
        <x:v>46004</x:v>
      </x:c>
      <x:c r="H142" t="n">
        <x:v>3</x:v>
      </x:c>
      <x:c r="I142" t="str">
        <x:v>Pago em atraso</x:v>
      </x:c>
    </x:row>
    <x:row r="143">
      <x:c r="A143" t="str">
        <x:v>PAG-000142</x:v>
      </x:c>
      <x:c r="B143" t="str">
        <x:v>IMV-0014</x:v>
      </x:c>
      <x:c r="C143" s="38" t="n">
        <x:v>45962</x:v>
      </x:c>
      <x:c r="D143" s="32" t="n">
        <x:v>5550</x:v>
      </x:c>
      <x:c r="E143" s="32" t="n">
        <x:v>5550</x:v>
      </x:c>
      <x:c r="F143" s="36" t="n">
        <x:v>45971</x:v>
      </x:c>
      <x:c r="G143" s="36" t="n">
        <x:v>45973</x:v>
      </x:c>
      <x:c r="H143" t="n">
        <x:v>2</x:v>
      </x:c>
      <x:c r="I143" t="str">
        <x:v>Pago em atraso</x:v>
      </x:c>
    </x:row>
    <x:row r="144">
      <x:c r="A144" t="str">
        <x:v>PAG-000143</x:v>
      </x:c>
      <x:c r="B144" t="str">
        <x:v>IMV-0014</x:v>
      </x:c>
      <x:c r="C144" s="38" t="n">
        <x:v>45931</x:v>
      </x:c>
      <x:c r="D144" s="32" t="n">
        <x:v>5550</x:v>
      </x:c>
      <x:c r="E144" s="32" t="n">
        <x:v>5550</x:v>
      </x:c>
      <x:c r="F144" s="36" t="n">
        <x:v>45940</x:v>
      </x:c>
      <x:c r="G144" s="36" t="n">
        <x:v>45940</x:v>
      </x:c>
      <x:c r="H144" t="n">
        <x:v>0</x:v>
      </x:c>
      <x:c r="I144" t="str">
        <x:v>Pago em dia</x:v>
      </x:c>
    </x:row>
    <x:row r="145">
      <x:c r="A145" t="str">
        <x:v>PAG-000144</x:v>
      </x:c>
      <x:c r="B145" t="str">
        <x:v>IMV-0014</x:v>
      </x:c>
      <x:c r="C145" s="38" t="n">
        <x:v>45901</x:v>
      </x:c>
      <x:c r="D145" s="32" t="n">
        <x:v>5550</x:v>
      </x:c>
      <x:c r="E145" s="32" t="n">
        <x:v>5550</x:v>
      </x:c>
      <x:c r="F145" s="36" t="n">
        <x:v>45910</x:v>
      </x:c>
      <x:c r="G145" s="36" t="n">
        <x:v>45910</x:v>
      </x:c>
      <x:c r="H145" t="n">
        <x:v>0</x:v>
      </x:c>
      <x:c r="I145" t="str">
        <x:v>Pago em dia</x:v>
      </x:c>
    </x:row>
    <x:row r="146">
      <x:c r="A146" t="str">
        <x:v>PAG-000145</x:v>
      </x:c>
      <x:c r="B146" t="str">
        <x:v>IMV-0015</x:v>
      </x:c>
      <x:c r="C146" s="38" t="n">
        <x:v>46235</x:v>
      </x:c>
      <x:c r="D146" s="32" t="n">
        <x:v>5550</x:v>
      </x:c>
      <x:c r="E146" s="32" t="n">
        <x:v>5550</x:v>
      </x:c>
      <x:c r="F146" s="36" t="n">
        <x:v>46244</x:v>
      </x:c>
      <x:c r="G146" s="36" t="n">
        <x:v>46279</x:v>
      </x:c>
      <x:c r="H146" t="n">
        <x:v>35</x:v>
      </x:c>
      <x:c r="I146" t="str">
        <x:v>Pago em atraso</x:v>
      </x:c>
    </x:row>
    <x:row r="147">
      <x:c r="A147" t="str">
        <x:v>PAG-000146</x:v>
      </x:c>
      <x:c r="B147" t="str">
        <x:v>IMV-0015</x:v>
      </x:c>
      <x:c r="C147" s="38" t="n">
        <x:v>46204</x:v>
      </x:c>
      <x:c r="D147" s="32" t="n">
        <x:v>5550</x:v>
      </x:c>
      <x:c r="E147" s="32" t="n">
        <x:v>5550</x:v>
      </x:c>
      <x:c r="F147" s="36" t="n">
        <x:v>46213</x:v>
      </x:c>
      <x:c r="G147" s="36" t="n">
        <x:v>46220</x:v>
      </x:c>
      <x:c r="H147" t="n">
        <x:v>7</x:v>
      </x:c>
      <x:c r="I147" t="str">
        <x:v>Pago em atraso</x:v>
      </x:c>
    </x:row>
    <x:row r="148">
      <x:c r="A148" t="str">
        <x:v>PAG-000147</x:v>
      </x:c>
      <x:c r="B148" t="str">
        <x:v>IMV-0015</x:v>
      </x:c>
      <x:c r="C148" s="38" t="n">
        <x:v>46174</x:v>
      </x:c>
      <x:c r="D148" s="32" t="n">
        <x:v>5550</x:v>
      </x:c>
      <x:c r="E148" s="32" t="n">
        <x:v>0</x:v>
      </x:c>
      <x:c r="F148" s="36" t="n">
        <x:v>46183</x:v>
      </x:c>
      <x:c r="G148" s="36"/>
      <x:c r="H148" t="n">
        <x:v>54</x:v>
      </x:c>
      <x:c r="I148" t="str">
        <x:v>Em aberto</x:v>
      </x:c>
    </x:row>
    <x:row r="149">
      <x:c r="A149" t="str">
        <x:v>PAG-000148</x:v>
      </x:c>
      <x:c r="B149" t="str">
        <x:v>IMV-0015</x:v>
      </x:c>
      <x:c r="C149" s="38" t="n">
        <x:v>46143</x:v>
      </x:c>
      <x:c r="D149" s="32" t="n">
        <x:v>5550</x:v>
      </x:c>
      <x:c r="E149" s="32" t="n">
        <x:v>5550</x:v>
      </x:c>
      <x:c r="F149" s="36" t="n">
        <x:v>46152</x:v>
      </x:c>
      <x:c r="G149" s="36" t="n">
        <x:v>46187</x:v>
      </x:c>
      <x:c r="H149" t="n">
        <x:v>35</x:v>
      </x:c>
      <x:c r="I149" t="str">
        <x:v>Pago em atraso</x:v>
      </x:c>
    </x:row>
    <x:row r="150">
      <x:c r="A150" t="str">
        <x:v>PAG-000149</x:v>
      </x:c>
      <x:c r="B150" t="str">
        <x:v>IMV-0015</x:v>
      </x:c>
      <x:c r="C150" s="38" t="n">
        <x:v>46113</x:v>
      </x:c>
      <x:c r="D150" s="32" t="n">
        <x:v>5550</x:v>
      </x:c>
      <x:c r="E150" s="32" t="n">
        <x:v>5550</x:v>
      </x:c>
      <x:c r="F150" s="36" t="n">
        <x:v>46122</x:v>
      </x:c>
      <x:c r="G150" s="36" t="n">
        <x:v>46134</x:v>
      </x:c>
      <x:c r="H150" t="n">
        <x:v>12</x:v>
      </x:c>
      <x:c r="I150" t="str">
        <x:v>Pago em atraso</x:v>
      </x:c>
    </x:row>
    <x:row r="151">
      <x:c r="A151" t="str">
        <x:v>PAG-000150</x:v>
      </x:c>
      <x:c r="B151" t="str">
        <x:v>IMV-0015</x:v>
      </x:c>
      <x:c r="C151" s="38" t="n">
        <x:v>46082</x:v>
      </x:c>
      <x:c r="D151" s="32" t="n">
        <x:v>5550</x:v>
      </x:c>
      <x:c r="E151" s="32" t="n">
        <x:v>5550</x:v>
      </x:c>
      <x:c r="F151" s="36" t="n">
        <x:v>46091</x:v>
      </x:c>
      <x:c r="G151" s="36" t="n">
        <x:v>46111</x:v>
      </x:c>
      <x:c r="H151" t="n">
        <x:v>20</x:v>
      </x:c>
      <x:c r="I151" t="str">
        <x:v>Pago em atraso</x:v>
      </x:c>
    </x:row>
    <x:row r="152">
      <x:c r="A152" t="str">
        <x:v>PAG-000151</x:v>
      </x:c>
      <x:c r="B152" t="str">
        <x:v>IMV-0015</x:v>
      </x:c>
      <x:c r="C152" s="38" t="n">
        <x:v>46054</x:v>
      </x:c>
      <x:c r="D152" s="32" t="n">
        <x:v>5550</x:v>
      </x:c>
      <x:c r="E152" s="32" t="n">
        <x:v>5550</x:v>
      </x:c>
      <x:c r="F152" s="36" t="n">
        <x:v>46063</x:v>
      </x:c>
      <x:c r="G152" s="36" t="n">
        <x:v>46083</x:v>
      </x:c>
      <x:c r="H152" t="n">
        <x:v>20</x:v>
      </x:c>
      <x:c r="I152" t="str">
        <x:v>Pago em atraso</x:v>
      </x:c>
    </x:row>
    <x:row r="153">
      <x:c r="A153" t="str">
        <x:v>PAG-000152</x:v>
      </x:c>
      <x:c r="B153" t="str">
        <x:v>IMV-0015</x:v>
      </x:c>
      <x:c r="C153" s="38" t="n">
        <x:v>46023</x:v>
      </x:c>
      <x:c r="D153" s="32" t="n">
        <x:v>5550</x:v>
      </x:c>
      <x:c r="E153" s="32" t="n">
        <x:v>5550</x:v>
      </x:c>
      <x:c r="F153" s="36" t="n">
        <x:v>46032</x:v>
      </x:c>
      <x:c r="G153" s="36" t="n">
        <x:v>46092</x:v>
      </x:c>
      <x:c r="H153" t="n">
        <x:v>60</x:v>
      </x:c>
      <x:c r="I153" t="str">
        <x:v>Pago em atraso</x:v>
      </x:c>
    </x:row>
    <x:row r="154">
      <x:c r="A154" t="str">
        <x:v>PAG-000153</x:v>
      </x:c>
      <x:c r="B154" t="str">
        <x:v>IMV-0015</x:v>
      </x:c>
      <x:c r="C154" s="38" t="n">
        <x:v>45992</x:v>
      </x:c>
      <x:c r="D154" s="32" t="n">
        <x:v>5550</x:v>
      </x:c>
      <x:c r="E154" s="32" t="n">
        <x:v>5550</x:v>
      </x:c>
      <x:c r="F154" s="36" t="n">
        <x:v>46001</x:v>
      </x:c>
      <x:c r="G154" s="36" t="n">
        <x:v>46036</x:v>
      </x:c>
      <x:c r="H154" t="n">
        <x:v>35</x:v>
      </x:c>
      <x:c r="I154" t="str">
        <x:v>Pago em atraso</x:v>
      </x:c>
    </x:row>
    <x:row r="155">
      <x:c r="A155" t="str">
        <x:v>PAG-000154</x:v>
      </x:c>
      <x:c r="B155" t="str">
        <x:v>IMV-0015</x:v>
      </x:c>
      <x:c r="C155" s="38" t="n">
        <x:v>45962</x:v>
      </x:c>
      <x:c r="D155" s="32" t="n">
        <x:v>5550</x:v>
      </x:c>
      <x:c r="E155" s="32" t="n">
        <x:v>5550</x:v>
      </x:c>
      <x:c r="F155" s="36" t="n">
        <x:v>45971</x:v>
      </x:c>
      <x:c r="G155" s="36" t="n">
        <x:v>46031</x:v>
      </x:c>
      <x:c r="H155" t="n">
        <x:v>60</x:v>
      </x:c>
      <x:c r="I155" t="str">
        <x:v>Pago em atraso</x:v>
      </x:c>
    </x:row>
    <x:row r="156">
      <x:c r="A156" t="str">
        <x:v>PAG-000155</x:v>
      </x:c>
      <x:c r="B156" t="str">
        <x:v>IMV-0015</x:v>
      </x:c>
      <x:c r="C156" s="38" t="n">
        <x:v>45931</x:v>
      </x:c>
      <x:c r="D156" s="32" t="n">
        <x:v>5550</x:v>
      </x:c>
      <x:c r="E156" s="32" t="n">
        <x:v>5550</x:v>
      </x:c>
      <x:c r="F156" s="36" t="n">
        <x:v>45940</x:v>
      </x:c>
      <x:c r="G156" s="36" t="n">
        <x:v>45952</x:v>
      </x:c>
      <x:c r="H156" t="n">
        <x:v>12</x:v>
      </x:c>
      <x:c r="I156" t="str">
        <x:v>Pago em atraso</x:v>
      </x:c>
    </x:row>
    <x:row r="157">
      <x:c r="A157" t="str">
        <x:v>PAG-000156</x:v>
      </x:c>
      <x:c r="B157" t="str">
        <x:v>IMV-0015</x:v>
      </x:c>
      <x:c r="C157" s="38" t="n">
        <x:v>45901</x:v>
      </x:c>
      <x:c r="D157" s="32" t="n">
        <x:v>5550</x:v>
      </x:c>
      <x:c r="E157" s="32" t="n">
        <x:v>5550</x:v>
      </x:c>
      <x:c r="F157" s="36" t="n">
        <x:v>45910</x:v>
      </x:c>
      <x:c r="G157" s="36" t="n">
        <x:v>45930</x:v>
      </x:c>
      <x:c r="H157" t="n">
        <x:v>20</x:v>
      </x:c>
      <x:c r="I157" t="str">
        <x:v>Pago em atraso</x:v>
      </x:c>
    </x:row>
    <x:row r="158">
      <x:c r="A158" t="str">
        <x:v>PAG-000157</x:v>
      </x:c>
      <x:c r="B158" t="str">
        <x:v>IMV-0016</x:v>
      </x:c>
      <x:c r="C158" s="38" t="n">
        <x:v>46235</x:v>
      </x:c>
      <x:c r="D158" s="32" t="n">
        <x:v>2050</x:v>
      </x:c>
      <x:c r="E158" s="32" t="n">
        <x:v>2050</x:v>
      </x:c>
      <x:c r="F158" s="36" t="n">
        <x:v>46244</x:v>
      </x:c>
      <x:c r="G158" s="36" t="n">
        <x:v>46245</x:v>
      </x:c>
      <x:c r="H158" t="n">
        <x:v>1</x:v>
      </x:c>
      <x:c r="I158" t="str">
        <x:v>Pago em atraso</x:v>
      </x:c>
    </x:row>
    <x:row r="159">
      <x:c r="A159" t="str">
        <x:v>PAG-000158</x:v>
      </x:c>
      <x:c r="B159" t="str">
        <x:v>IMV-0016</x:v>
      </x:c>
      <x:c r="C159" s="38" t="n">
        <x:v>46204</x:v>
      </x:c>
      <x:c r="D159" s="32" t="n">
        <x:v>2050</x:v>
      </x:c>
      <x:c r="E159" s="32" t="n">
        <x:v>2050</x:v>
      </x:c>
      <x:c r="F159" s="36" t="n">
        <x:v>46213</x:v>
      </x:c>
      <x:c r="G159" s="36" t="n">
        <x:v>46218</x:v>
      </x:c>
      <x:c r="H159" t="n">
        <x:v>5</x:v>
      </x:c>
      <x:c r="I159" t="str">
        <x:v>Pago em atraso</x:v>
      </x:c>
    </x:row>
    <x:row r="160">
      <x:c r="A160" t="str">
        <x:v>PAG-000159</x:v>
      </x:c>
      <x:c r="B160" t="str">
        <x:v>IMV-0016</x:v>
      </x:c>
      <x:c r="C160" s="38" t="n">
        <x:v>46174</x:v>
      </x:c>
      <x:c r="D160" s="32" t="n">
        <x:v>2050</x:v>
      </x:c>
      <x:c r="E160" s="32" t="n">
        <x:v>2050</x:v>
      </x:c>
      <x:c r="F160" s="36" t="n">
        <x:v>46183</x:v>
      </x:c>
      <x:c r="G160" s="36" t="n">
        <x:v>46184</x:v>
      </x:c>
      <x:c r="H160" t="n">
        <x:v>1</x:v>
      </x:c>
      <x:c r="I160" t="str">
        <x:v>Pago em atraso</x:v>
      </x:c>
    </x:row>
    <x:row r="161">
      <x:c r="A161" t="str">
        <x:v>PAG-000160</x:v>
      </x:c>
      <x:c r="B161" t="str">
        <x:v>IMV-0016</x:v>
      </x:c>
      <x:c r="C161" s="38" t="n">
        <x:v>46143</x:v>
      </x:c>
      <x:c r="D161" s="32" t="n">
        <x:v>2050</x:v>
      </x:c>
      <x:c r="E161" s="32" t="n">
        <x:v>2050</x:v>
      </x:c>
      <x:c r="F161" s="36" t="n">
        <x:v>46152</x:v>
      </x:c>
      <x:c r="G161" s="36" t="n">
        <x:v>46152</x:v>
      </x:c>
      <x:c r="H161" t="n">
        <x:v>0</x:v>
      </x:c>
      <x:c r="I161" t="str">
        <x:v>Pago em dia</x:v>
      </x:c>
    </x:row>
    <x:row r="162">
      <x:c r="A162" t="str">
        <x:v>PAG-000161</x:v>
      </x:c>
      <x:c r="B162" t="str">
        <x:v>IMV-0016</x:v>
      </x:c>
      <x:c r="C162" s="38" t="n">
        <x:v>46113</x:v>
      </x:c>
      <x:c r="D162" s="32" t="n">
        <x:v>2050</x:v>
      </x:c>
      <x:c r="E162" s="32" t="n">
        <x:v>2050</x:v>
      </x:c>
      <x:c r="F162" s="36" t="n">
        <x:v>46122</x:v>
      </x:c>
      <x:c r="G162" s="36" t="n">
        <x:v>46122</x:v>
      </x:c>
      <x:c r="H162" t="n">
        <x:v>0</x:v>
      </x:c>
      <x:c r="I162" t="str">
        <x:v>Pago em dia</x:v>
      </x:c>
    </x:row>
    <x:row r="163">
      <x:c r="A163" t="str">
        <x:v>PAG-000162</x:v>
      </x:c>
      <x:c r="B163" t="str">
        <x:v>IMV-0016</x:v>
      </x:c>
      <x:c r="C163" s="38" t="n">
        <x:v>46082</x:v>
      </x:c>
      <x:c r="D163" s="32" t="n">
        <x:v>2050</x:v>
      </x:c>
      <x:c r="E163" s="32" t="n">
        <x:v>2050</x:v>
      </x:c>
      <x:c r="F163" s="36" t="n">
        <x:v>46091</x:v>
      </x:c>
      <x:c r="G163" s="36" t="n">
        <x:v>46094</x:v>
      </x:c>
      <x:c r="H163" t="n">
        <x:v>3</x:v>
      </x:c>
      <x:c r="I163" t="str">
        <x:v>Pago em atraso</x:v>
      </x:c>
    </x:row>
    <x:row r="164">
      <x:c r="A164" t="str">
        <x:v>PAG-000163</x:v>
      </x:c>
      <x:c r="B164" t="str">
        <x:v>IMV-0016</x:v>
      </x:c>
      <x:c r="C164" s="38" t="n">
        <x:v>46054</x:v>
      </x:c>
      <x:c r="D164" s="32" t="n">
        <x:v>2050</x:v>
      </x:c>
      <x:c r="E164" s="32" t="n">
        <x:v>2050</x:v>
      </x:c>
      <x:c r="F164" s="36" t="n">
        <x:v>46063</x:v>
      </x:c>
      <x:c r="G164" s="36" t="n">
        <x:v>46064</x:v>
      </x:c>
      <x:c r="H164" t="n">
        <x:v>1</x:v>
      </x:c>
      <x:c r="I164" t="str">
        <x:v>Pago em atraso</x:v>
      </x:c>
    </x:row>
    <x:row r="165">
      <x:c r="A165" t="str">
        <x:v>PAG-000164</x:v>
      </x:c>
      <x:c r="B165" t="str">
        <x:v>IMV-0016</x:v>
      </x:c>
      <x:c r="C165" s="38" t="n">
        <x:v>46023</x:v>
      </x:c>
      <x:c r="D165" s="32" t="n">
        <x:v>2050</x:v>
      </x:c>
      <x:c r="E165" s="32" t="n">
        <x:v>2050</x:v>
      </x:c>
      <x:c r="F165" s="36" t="n">
        <x:v>46032</x:v>
      </x:c>
      <x:c r="G165" s="36" t="n">
        <x:v>46035</x:v>
      </x:c>
      <x:c r="H165" t="n">
        <x:v>3</x:v>
      </x:c>
      <x:c r="I165" t="str">
        <x:v>Pago em atraso</x:v>
      </x:c>
    </x:row>
    <x:row r="166">
      <x:c r="A166" t="str">
        <x:v>PAG-000165</x:v>
      </x:c>
      <x:c r="B166" t="str">
        <x:v>IMV-0016</x:v>
      </x:c>
      <x:c r="C166" s="38" t="n">
        <x:v>45992</x:v>
      </x:c>
      <x:c r="D166" s="32" t="n">
        <x:v>2050</x:v>
      </x:c>
      <x:c r="E166" s="32" t="n">
        <x:v>2050</x:v>
      </x:c>
      <x:c r="F166" s="36" t="n">
        <x:v>46001</x:v>
      </x:c>
      <x:c r="G166" s="36" t="n">
        <x:v>46001</x:v>
      </x:c>
      <x:c r="H166" t="n">
        <x:v>0</x:v>
      </x:c>
      <x:c r="I166" t="str">
        <x:v>Pago em dia</x:v>
      </x:c>
    </x:row>
    <x:row r="167">
      <x:c r="A167" t="str">
        <x:v>PAG-000166</x:v>
      </x:c>
      <x:c r="B167" t="str">
        <x:v>IMV-0016</x:v>
      </x:c>
      <x:c r="C167" s="38" t="n">
        <x:v>45962</x:v>
      </x:c>
      <x:c r="D167" s="32" t="n">
        <x:v>2050</x:v>
      </x:c>
      <x:c r="E167" s="32" t="n">
        <x:v>2050</x:v>
      </x:c>
      <x:c r="F167" s="36" t="n">
        <x:v>45971</x:v>
      </x:c>
      <x:c r="G167" s="36" t="n">
        <x:v>45971</x:v>
      </x:c>
      <x:c r="H167" t="n">
        <x:v>0</x:v>
      </x:c>
      <x:c r="I167" t="str">
        <x:v>Pago em dia</x:v>
      </x:c>
    </x:row>
    <x:row r="168">
      <x:c r="A168" t="str">
        <x:v>PAG-000167</x:v>
      </x:c>
      <x:c r="B168" t="str">
        <x:v>IMV-0016</x:v>
      </x:c>
      <x:c r="C168" s="38" t="n">
        <x:v>45931</x:v>
      </x:c>
      <x:c r="D168" s="32" t="n">
        <x:v>2050</x:v>
      </x:c>
      <x:c r="E168" s="32" t="n">
        <x:v>2050</x:v>
      </x:c>
      <x:c r="F168" s="36" t="n">
        <x:v>45940</x:v>
      </x:c>
      <x:c r="G168" s="36" t="n">
        <x:v>45940</x:v>
      </x:c>
      <x:c r="H168" t="n">
        <x:v>0</x:v>
      </x:c>
      <x:c r="I168" t="str">
        <x:v>Pago em dia</x:v>
      </x:c>
    </x:row>
    <x:row r="169">
      <x:c r="A169" t="str">
        <x:v>PAG-000168</x:v>
      </x:c>
      <x:c r="B169" t="str">
        <x:v>IMV-0016</x:v>
      </x:c>
      <x:c r="C169" s="38" t="n">
        <x:v>45901</x:v>
      </x:c>
      <x:c r="D169" s="32" t="n">
        <x:v>2050</x:v>
      </x:c>
      <x:c r="E169" s="32" t="n">
        <x:v>2050</x:v>
      </x:c>
      <x:c r="F169" s="36" t="n">
        <x:v>45910</x:v>
      </x:c>
      <x:c r="G169" s="36" t="n">
        <x:v>45912</x:v>
      </x:c>
      <x:c r="H169" t="n">
        <x:v>2</x:v>
      </x:c>
      <x:c r="I169" t="str">
        <x:v>Pago em atraso</x:v>
      </x:c>
    </x:row>
    <x:row r="170">
      <x:c r="A170" t="str">
        <x:v>PAG-000169</x:v>
      </x:c>
      <x:c r="B170" t="str">
        <x:v>IMV-0017</x:v>
      </x:c>
      <x:c r="C170" s="38" t="n">
        <x:v>46235</x:v>
      </x:c>
      <x:c r="D170" s="32" t="n">
        <x:v>2500</x:v>
      </x:c>
      <x:c r="E170" s="32" t="n">
        <x:v>2500</x:v>
      </x:c>
      <x:c r="F170" s="36" t="n">
        <x:v>46244</x:v>
      </x:c>
      <x:c r="G170" s="36" t="n">
        <x:v>46244</x:v>
      </x:c>
      <x:c r="H170" t="n">
        <x:v>0</x:v>
      </x:c>
      <x:c r="I170" t="str">
        <x:v>Pago em dia</x:v>
      </x:c>
    </x:row>
    <x:row r="171">
      <x:c r="A171" t="str">
        <x:v>PAG-000170</x:v>
      </x:c>
      <x:c r="B171" t="str">
        <x:v>IMV-0017</x:v>
      </x:c>
      <x:c r="C171" s="38" t="n">
        <x:v>46204</x:v>
      </x:c>
      <x:c r="D171" s="32" t="n">
        <x:v>2500</x:v>
      </x:c>
      <x:c r="E171" s="32" t="n">
        <x:v>2500</x:v>
      </x:c>
      <x:c r="F171" s="36" t="n">
        <x:v>46213</x:v>
      </x:c>
      <x:c r="G171" s="36" t="n">
        <x:v>46215</x:v>
      </x:c>
      <x:c r="H171" t="n">
        <x:v>2</x:v>
      </x:c>
      <x:c r="I171" t="str">
        <x:v>Pago em atraso</x:v>
      </x:c>
    </x:row>
    <x:row r="172">
      <x:c r="A172" t="str">
        <x:v>PAG-000171</x:v>
      </x:c>
      <x:c r="B172" t="str">
        <x:v>IMV-0017</x:v>
      </x:c>
      <x:c r="C172" s="38" t="n">
        <x:v>46174</x:v>
      </x:c>
      <x:c r="D172" s="32" t="n">
        <x:v>2500</x:v>
      </x:c>
      <x:c r="E172" s="32" t="n">
        <x:v>2500</x:v>
      </x:c>
      <x:c r="F172" s="36" t="n">
        <x:v>46183</x:v>
      </x:c>
      <x:c r="G172" s="36" t="n">
        <x:v>46183</x:v>
      </x:c>
      <x:c r="H172" t="n">
        <x:v>0</x:v>
      </x:c>
      <x:c r="I172" t="str">
        <x:v>Pago em dia</x:v>
      </x:c>
    </x:row>
    <x:row r="173">
      <x:c r="A173" t="str">
        <x:v>PAG-000172</x:v>
      </x:c>
      <x:c r="B173" t="str">
        <x:v>IMV-0017</x:v>
      </x:c>
      <x:c r="C173" s="38" t="n">
        <x:v>46143</x:v>
      </x:c>
      <x:c r="D173" s="32" t="n">
        <x:v>2500</x:v>
      </x:c>
      <x:c r="E173" s="32" t="n">
        <x:v>2500</x:v>
      </x:c>
      <x:c r="F173" s="36" t="n">
        <x:v>46152</x:v>
      </x:c>
      <x:c r="G173" s="36" t="n">
        <x:v>46153</x:v>
      </x:c>
      <x:c r="H173" t="n">
        <x:v>1</x:v>
      </x:c>
      <x:c r="I173" t="str">
        <x:v>Pago em atraso</x:v>
      </x:c>
    </x:row>
    <x:row r="174">
      <x:c r="A174" t="str">
        <x:v>PAG-000173</x:v>
      </x:c>
      <x:c r="B174" t="str">
        <x:v>IMV-0017</x:v>
      </x:c>
      <x:c r="C174" s="38" t="n">
        <x:v>46113</x:v>
      </x:c>
      <x:c r="D174" s="32" t="n">
        <x:v>2500</x:v>
      </x:c>
      <x:c r="E174" s="32" t="n">
        <x:v>2500</x:v>
      </x:c>
      <x:c r="F174" s="36" t="n">
        <x:v>46122</x:v>
      </x:c>
      <x:c r="G174" s="36" t="n">
        <x:v>46124</x:v>
      </x:c>
      <x:c r="H174" t="n">
        <x:v>2</x:v>
      </x:c>
      <x:c r="I174" t="str">
        <x:v>Pago em atraso</x:v>
      </x:c>
    </x:row>
    <x:row r="175">
      <x:c r="A175" t="str">
        <x:v>PAG-000174</x:v>
      </x:c>
      <x:c r="B175" t="str">
        <x:v>IMV-0017</x:v>
      </x:c>
      <x:c r="C175" s="38" t="n">
        <x:v>46082</x:v>
      </x:c>
      <x:c r="D175" s="32" t="n">
        <x:v>2500</x:v>
      </x:c>
      <x:c r="E175" s="32" t="n">
        <x:v>2500</x:v>
      </x:c>
      <x:c r="F175" s="36" t="n">
        <x:v>46091</x:v>
      </x:c>
      <x:c r="G175" s="36" t="n">
        <x:v>46094</x:v>
      </x:c>
      <x:c r="H175" t="n">
        <x:v>3</x:v>
      </x:c>
      <x:c r="I175" t="str">
        <x:v>Pago em atraso</x:v>
      </x:c>
    </x:row>
    <x:row r="176">
      <x:c r="A176" t="str">
        <x:v>PAG-000175</x:v>
      </x:c>
      <x:c r="B176" t="str">
        <x:v>IMV-0017</x:v>
      </x:c>
      <x:c r="C176" s="38" t="n">
        <x:v>46054</x:v>
      </x:c>
      <x:c r="D176" s="32" t="n">
        <x:v>2500</x:v>
      </x:c>
      <x:c r="E176" s="32" t="n">
        <x:v>2500</x:v>
      </x:c>
      <x:c r="F176" s="36" t="n">
        <x:v>46063</x:v>
      </x:c>
      <x:c r="G176" s="36" t="n">
        <x:v>46063</x:v>
      </x:c>
      <x:c r="H176" t="n">
        <x:v>0</x:v>
      </x:c>
      <x:c r="I176" t="str">
        <x:v>Pago em dia</x:v>
      </x:c>
    </x:row>
    <x:row r="177">
      <x:c r="A177" t="str">
        <x:v>PAG-000176</x:v>
      </x:c>
      <x:c r="B177" t="str">
        <x:v>IMV-0017</x:v>
      </x:c>
      <x:c r="C177" s="38" t="n">
        <x:v>46023</x:v>
      </x:c>
      <x:c r="D177" s="32" t="n">
        <x:v>2500</x:v>
      </x:c>
      <x:c r="E177" s="32" t="n">
        <x:v>2500</x:v>
      </x:c>
      <x:c r="F177" s="36" t="n">
        <x:v>46032</x:v>
      </x:c>
      <x:c r="G177" s="36" t="n">
        <x:v>46032</x:v>
      </x:c>
      <x:c r="H177" t="n">
        <x:v>0</x:v>
      </x:c>
      <x:c r="I177" t="str">
        <x:v>Pago em dia</x:v>
      </x:c>
    </x:row>
    <x:row r="178">
      <x:c r="A178" t="str">
        <x:v>PAG-000177</x:v>
      </x:c>
      <x:c r="B178" t="str">
        <x:v>IMV-0017</x:v>
      </x:c>
      <x:c r="C178" s="38" t="n">
        <x:v>45992</x:v>
      </x:c>
      <x:c r="D178" s="32" t="n">
        <x:v>2500</x:v>
      </x:c>
      <x:c r="E178" s="32" t="n">
        <x:v>2500</x:v>
      </x:c>
      <x:c r="F178" s="36" t="n">
        <x:v>46001</x:v>
      </x:c>
      <x:c r="G178" s="36" t="n">
        <x:v>46004</x:v>
      </x:c>
      <x:c r="H178" t="n">
        <x:v>3</x:v>
      </x:c>
      <x:c r="I178" t="str">
        <x:v>Pago em atraso</x:v>
      </x:c>
    </x:row>
    <x:row r="179">
      <x:c r="A179" t="str">
        <x:v>PAG-000178</x:v>
      </x:c>
      <x:c r="B179" t="str">
        <x:v>IMV-0017</x:v>
      </x:c>
      <x:c r="C179" s="38" t="n">
        <x:v>45962</x:v>
      </x:c>
      <x:c r="D179" s="32" t="n">
        <x:v>2500</x:v>
      </x:c>
      <x:c r="E179" s="32" t="n">
        <x:v>2500</x:v>
      </x:c>
      <x:c r="F179" s="36" t="n">
        <x:v>45971</x:v>
      </x:c>
      <x:c r="G179" s="36" t="n">
        <x:v>45971</x:v>
      </x:c>
      <x:c r="H179" t="n">
        <x:v>0</x:v>
      </x:c>
      <x:c r="I179" t="str">
        <x:v>Pago em dia</x:v>
      </x:c>
    </x:row>
    <x:row r="180">
      <x:c r="A180" t="str">
        <x:v>PAG-000179</x:v>
      </x:c>
      <x:c r="B180" t="str">
        <x:v>IMV-0017</x:v>
      </x:c>
      <x:c r="C180" s="38" t="n">
        <x:v>45931</x:v>
      </x:c>
      <x:c r="D180" s="32" t="n">
        <x:v>2500</x:v>
      </x:c>
      <x:c r="E180" s="32" t="n">
        <x:v>2500</x:v>
      </x:c>
      <x:c r="F180" s="36" t="n">
        <x:v>45940</x:v>
      </x:c>
      <x:c r="G180" s="36" t="n">
        <x:v>45940</x:v>
      </x:c>
      <x:c r="H180" t="n">
        <x:v>0</x:v>
      </x:c>
      <x:c r="I180" t="str">
        <x:v>Pago em dia</x:v>
      </x:c>
    </x:row>
    <x:row r="181">
      <x:c r="A181" t="str">
        <x:v>PAG-000180</x:v>
      </x:c>
      <x:c r="B181" t="str">
        <x:v>IMV-0017</x:v>
      </x:c>
      <x:c r="C181" s="38" t="n">
        <x:v>45901</x:v>
      </x:c>
      <x:c r="D181" s="32" t="n">
        <x:v>2500</x:v>
      </x:c>
      <x:c r="E181" s="32" t="n">
        <x:v>2500</x:v>
      </x:c>
      <x:c r="F181" s="36" t="n">
        <x:v>45910</x:v>
      </x:c>
      <x:c r="G181" s="36" t="n">
        <x:v>45910</x:v>
      </x:c>
      <x:c r="H181" t="n">
        <x:v>0</x:v>
      </x:c>
      <x:c r="I181" t="str">
        <x:v>Pago em dia</x:v>
      </x:c>
    </x:row>
    <x:row r="182">
      <x:c r="A182" t="str">
        <x:v>PAG-000181</x:v>
      </x:c>
      <x:c r="B182" t="str">
        <x:v>IMV-0018</x:v>
      </x:c>
      <x:c r="C182" s="38" t="n">
        <x:v>46235</x:v>
      </x:c>
      <x:c r="D182" s="32" t="n">
        <x:v>4950</x:v>
      </x:c>
      <x:c r="E182" s="32" t="n">
        <x:v>4950</x:v>
      </x:c>
      <x:c r="F182" s="36" t="n">
        <x:v>46244</x:v>
      </x:c>
      <x:c r="G182" s="36" t="n">
        <x:v>46251</x:v>
      </x:c>
      <x:c r="H182" t="n">
        <x:v>7</x:v>
      </x:c>
      <x:c r="I182" t="str">
        <x:v>Pago em atraso</x:v>
      </x:c>
    </x:row>
    <x:row r="183">
      <x:c r="A183" t="str">
        <x:v>PAG-000182</x:v>
      </x:c>
      <x:c r="B183" t="str">
        <x:v>IMV-0018</x:v>
      </x:c>
      <x:c r="C183" s="38" t="n">
        <x:v>46204</x:v>
      </x:c>
      <x:c r="D183" s="32" t="n">
        <x:v>4950</x:v>
      </x:c>
      <x:c r="E183" s="32" t="n">
        <x:v>0</x:v>
      </x:c>
      <x:c r="F183" s="36" t="n">
        <x:v>46213</x:v>
      </x:c>
      <x:c r="G183" s="36"/>
      <x:c r="H183" t="n">
        <x:v>24</x:v>
      </x:c>
      <x:c r="I183" t="str">
        <x:v>Em aberto</x:v>
      </x:c>
    </x:row>
    <x:row r="184">
      <x:c r="A184" t="str">
        <x:v>PAG-000183</x:v>
      </x:c>
      <x:c r="B184" t="str">
        <x:v>IMV-0018</x:v>
      </x:c>
      <x:c r="C184" s="38" t="n">
        <x:v>46174</x:v>
      </x:c>
      <x:c r="D184" s="32" t="n">
        <x:v>4950</x:v>
      </x:c>
      <x:c r="E184" s="32" t="n">
        <x:v>4950</x:v>
      </x:c>
      <x:c r="F184" s="36" t="n">
        <x:v>46183</x:v>
      </x:c>
      <x:c r="G184" s="36" t="n">
        <x:v>46203</x:v>
      </x:c>
      <x:c r="H184" t="n">
        <x:v>20</x:v>
      </x:c>
      <x:c r="I184" t="str">
        <x:v>Pago em atraso</x:v>
      </x:c>
    </x:row>
    <x:row r="185">
      <x:c r="A185" t="str">
        <x:v>PAG-000184</x:v>
      </x:c>
      <x:c r="B185" t="str">
        <x:v>IMV-0018</x:v>
      </x:c>
      <x:c r="C185" s="38" t="n">
        <x:v>46143</x:v>
      </x:c>
      <x:c r="D185" s="32" t="n">
        <x:v>4950</x:v>
      </x:c>
      <x:c r="E185" s="32" t="n">
        <x:v>4950</x:v>
      </x:c>
      <x:c r="F185" s="36" t="n">
        <x:v>46152</x:v>
      </x:c>
      <x:c r="G185" s="36" t="n">
        <x:v>46172</x:v>
      </x:c>
      <x:c r="H185" t="n">
        <x:v>20</x:v>
      </x:c>
      <x:c r="I185" t="str">
        <x:v>Pago em atraso</x:v>
      </x:c>
    </x:row>
    <x:row r="186">
      <x:c r="A186" t="str">
        <x:v>PAG-000185</x:v>
      </x:c>
      <x:c r="B186" t="str">
        <x:v>IMV-0018</x:v>
      </x:c>
      <x:c r="C186" s="38" t="n">
        <x:v>46113</x:v>
      </x:c>
      <x:c r="D186" s="32" t="n">
        <x:v>4950</x:v>
      </x:c>
      <x:c r="E186" s="32" t="n">
        <x:v>4950</x:v>
      </x:c>
      <x:c r="F186" s="36" t="n">
        <x:v>46122</x:v>
      </x:c>
      <x:c r="G186" s="36" t="n">
        <x:v>46142</x:v>
      </x:c>
      <x:c r="H186" t="n">
        <x:v>20</x:v>
      </x:c>
      <x:c r="I186" t="str">
        <x:v>Pago em atraso</x:v>
      </x:c>
    </x:row>
    <x:row r="187">
      <x:c r="A187" t="str">
        <x:v>PAG-000186</x:v>
      </x:c>
      <x:c r="B187" t="str">
        <x:v>IMV-0018</x:v>
      </x:c>
      <x:c r="C187" s="38" t="n">
        <x:v>46082</x:v>
      </x:c>
      <x:c r="D187" s="32" t="n">
        <x:v>4950</x:v>
      </x:c>
      <x:c r="E187" s="32" t="n">
        <x:v>4950</x:v>
      </x:c>
      <x:c r="F187" s="36" t="n">
        <x:v>46091</x:v>
      </x:c>
      <x:c r="G187" s="36" t="n">
        <x:v>46151</x:v>
      </x:c>
      <x:c r="H187" t="n">
        <x:v>60</x:v>
      </x:c>
      <x:c r="I187" t="str">
        <x:v>Pago em atraso</x:v>
      </x:c>
    </x:row>
    <x:row r="188">
      <x:c r="A188" t="str">
        <x:v>PAG-000187</x:v>
      </x:c>
      <x:c r="B188" t="str">
        <x:v>IMV-0018</x:v>
      </x:c>
      <x:c r="C188" s="38" t="n">
        <x:v>46054</x:v>
      </x:c>
      <x:c r="D188" s="32" t="n">
        <x:v>4950</x:v>
      </x:c>
      <x:c r="E188" s="32" t="n">
        <x:v>4950</x:v>
      </x:c>
      <x:c r="F188" s="36" t="n">
        <x:v>46063</x:v>
      </x:c>
      <x:c r="G188" s="36" t="n">
        <x:v>46098</x:v>
      </x:c>
      <x:c r="H188" t="n">
        <x:v>35</x:v>
      </x:c>
      <x:c r="I188" t="str">
        <x:v>Pago em atraso</x:v>
      </x:c>
    </x:row>
    <x:row r="189">
      <x:c r="A189" t="str">
        <x:v>PAG-000188</x:v>
      </x:c>
      <x:c r="B189" t="str">
        <x:v>IMV-0018</x:v>
      </x:c>
      <x:c r="C189" s="38" t="n">
        <x:v>46023</x:v>
      </x:c>
      <x:c r="D189" s="32" t="n">
        <x:v>4950</x:v>
      </x:c>
      <x:c r="E189" s="32" t="n">
        <x:v>4950</x:v>
      </x:c>
      <x:c r="F189" s="36" t="n">
        <x:v>46032</x:v>
      </x:c>
      <x:c r="G189" s="36" t="n">
        <x:v>46052</x:v>
      </x:c>
      <x:c r="H189" t="n">
        <x:v>20</x:v>
      </x:c>
      <x:c r="I189" t="str">
        <x:v>Pago em atraso</x:v>
      </x:c>
    </x:row>
    <x:row r="190">
      <x:c r="A190" t="str">
        <x:v>PAG-000189</x:v>
      </x:c>
      <x:c r="B190" t="str">
        <x:v>IMV-0018</x:v>
      </x:c>
      <x:c r="C190" s="38" t="n">
        <x:v>45992</x:v>
      </x:c>
      <x:c r="D190" s="32" t="n">
        <x:v>4950</x:v>
      </x:c>
      <x:c r="E190" s="32" t="n">
        <x:v>4950</x:v>
      </x:c>
      <x:c r="F190" s="36" t="n">
        <x:v>46001</x:v>
      </x:c>
      <x:c r="G190" s="36" t="n">
        <x:v>46061</x:v>
      </x:c>
      <x:c r="H190" t="n">
        <x:v>60</x:v>
      </x:c>
      <x:c r="I190" t="str">
        <x:v>Pago em atraso</x:v>
      </x:c>
    </x:row>
    <x:row r="191">
      <x:c r="A191" t="str">
        <x:v>PAG-000190</x:v>
      </x:c>
      <x:c r="B191" t="str">
        <x:v>IMV-0018</x:v>
      </x:c>
      <x:c r="C191" s="38" t="n">
        <x:v>45962</x:v>
      </x:c>
      <x:c r="D191" s="32" t="n">
        <x:v>4950</x:v>
      </x:c>
      <x:c r="E191" s="32" t="n">
        <x:v>4950</x:v>
      </x:c>
      <x:c r="F191" s="36" t="n">
        <x:v>45971</x:v>
      </x:c>
      <x:c r="G191" s="36" t="n">
        <x:v>45978</x:v>
      </x:c>
      <x:c r="H191" t="n">
        <x:v>7</x:v>
      </x:c>
      <x:c r="I191" t="str">
        <x:v>Pago em atraso</x:v>
      </x:c>
    </x:row>
    <x:row r="192">
      <x:c r="A192" t="str">
        <x:v>PAG-000191</x:v>
      </x:c>
      <x:c r="B192" t="str">
        <x:v>IMV-0018</x:v>
      </x:c>
      <x:c r="C192" s="38" t="n">
        <x:v>45931</x:v>
      </x:c>
      <x:c r="D192" s="32" t="n">
        <x:v>4950</x:v>
      </x:c>
      <x:c r="E192" s="32" t="n">
        <x:v>4950</x:v>
      </x:c>
      <x:c r="F192" s="36" t="n">
        <x:v>45940</x:v>
      </x:c>
      <x:c r="G192" s="36" t="n">
        <x:v>45952</x:v>
      </x:c>
      <x:c r="H192" t="n">
        <x:v>12</x:v>
      </x:c>
      <x:c r="I192" t="str">
        <x:v>Pago em atraso</x:v>
      </x:c>
    </x:row>
    <x:row r="193">
      <x:c r="A193" t="str">
        <x:v>PAG-000192</x:v>
      </x:c>
      <x:c r="B193" t="str">
        <x:v>IMV-0018</x:v>
      </x:c>
      <x:c r="C193" s="38" t="n">
        <x:v>45901</x:v>
      </x:c>
      <x:c r="D193" s="32" t="n">
        <x:v>4950</x:v>
      </x:c>
      <x:c r="E193" s="32" t="n">
        <x:v>4950</x:v>
      </x:c>
      <x:c r="F193" s="36" t="n">
        <x:v>45910</x:v>
      </x:c>
      <x:c r="G193" s="36" t="n">
        <x:v>45922</x:v>
      </x:c>
      <x:c r="H193" t="n">
        <x:v>12</x:v>
      </x:c>
      <x:c r="I193" t="str">
        <x:v>Pago em atraso</x:v>
      </x:c>
    </x:row>
    <x:row r="194">
      <x:c r="A194" t="str">
        <x:v>PAG-000193</x:v>
      </x:c>
      <x:c r="B194" t="str">
        <x:v>IMV-0019</x:v>
      </x:c>
      <x:c r="C194" s="38" t="n">
        <x:v>46235</x:v>
      </x:c>
      <x:c r="D194" s="32" t="n">
        <x:v>3850</x:v>
      </x:c>
      <x:c r="E194" s="32" t="n">
        <x:v>3850</x:v>
      </x:c>
      <x:c r="F194" s="36" t="n">
        <x:v>46244</x:v>
      </x:c>
      <x:c r="G194" s="36" t="n">
        <x:v>46246</x:v>
      </x:c>
      <x:c r="H194" t="n">
        <x:v>2</x:v>
      </x:c>
      <x:c r="I194" t="str">
        <x:v>Pago em atraso</x:v>
      </x:c>
    </x:row>
    <x:row r="195">
      <x:c r="A195" t="str">
        <x:v>PAG-000194</x:v>
      </x:c>
      <x:c r="B195" t="str">
        <x:v>IMV-0019</x:v>
      </x:c>
      <x:c r="C195" s="38" t="n">
        <x:v>46204</x:v>
      </x:c>
      <x:c r="D195" s="32" t="n">
        <x:v>3850</x:v>
      </x:c>
      <x:c r="E195" s="32" t="n">
        <x:v>3850</x:v>
      </x:c>
      <x:c r="F195" s="36" t="n">
        <x:v>46213</x:v>
      </x:c>
      <x:c r="G195" s="36" t="n">
        <x:v>46213</x:v>
      </x:c>
      <x:c r="H195" t="n">
        <x:v>0</x:v>
      </x:c>
      <x:c r="I195" t="str">
        <x:v>Pago em dia</x:v>
      </x:c>
    </x:row>
    <x:row r="196">
      <x:c r="A196" t="str">
        <x:v>PAG-000195</x:v>
      </x:c>
      <x:c r="B196" t="str">
        <x:v>IMV-0019</x:v>
      </x:c>
      <x:c r="C196" s="38" t="n">
        <x:v>46174</x:v>
      </x:c>
      <x:c r="D196" s="32" t="n">
        <x:v>3850</x:v>
      </x:c>
      <x:c r="E196" s="32" t="n">
        <x:v>3850</x:v>
      </x:c>
      <x:c r="F196" s="36" t="n">
        <x:v>46183</x:v>
      </x:c>
      <x:c r="G196" s="36" t="n">
        <x:v>46183</x:v>
      </x:c>
      <x:c r="H196" t="n">
        <x:v>0</x:v>
      </x:c>
      <x:c r="I196" t="str">
        <x:v>Pago em dia</x:v>
      </x:c>
    </x:row>
    <x:row r="197">
      <x:c r="A197" t="str">
        <x:v>PAG-000196</x:v>
      </x:c>
      <x:c r="B197" t="str">
        <x:v>IMV-0019</x:v>
      </x:c>
      <x:c r="C197" s="38" t="n">
        <x:v>46143</x:v>
      </x:c>
      <x:c r="D197" s="32" t="n">
        <x:v>3850</x:v>
      </x:c>
      <x:c r="E197" s="32" t="n">
        <x:v>3850</x:v>
      </x:c>
      <x:c r="F197" s="36" t="n">
        <x:v>46152</x:v>
      </x:c>
      <x:c r="G197" s="36" t="n">
        <x:v>46152</x:v>
      </x:c>
      <x:c r="H197" t="n">
        <x:v>0</x:v>
      </x:c>
      <x:c r="I197" t="str">
        <x:v>Pago em dia</x:v>
      </x:c>
    </x:row>
    <x:row r="198">
      <x:c r="A198" t="str">
        <x:v>PAG-000197</x:v>
      </x:c>
      <x:c r="B198" t="str">
        <x:v>IMV-0019</x:v>
      </x:c>
      <x:c r="C198" s="38" t="n">
        <x:v>46113</x:v>
      </x:c>
      <x:c r="D198" s="32" t="n">
        <x:v>3850</x:v>
      </x:c>
      <x:c r="E198" s="32" t="n">
        <x:v>3850</x:v>
      </x:c>
      <x:c r="F198" s="36" t="n">
        <x:v>46122</x:v>
      </x:c>
      <x:c r="G198" s="36" t="n">
        <x:v>46122</x:v>
      </x:c>
      <x:c r="H198" t="n">
        <x:v>0</x:v>
      </x:c>
      <x:c r="I198" t="str">
        <x:v>Pago em dia</x:v>
      </x:c>
    </x:row>
    <x:row r="199">
      <x:c r="A199" t="str">
        <x:v>PAG-000198</x:v>
      </x:c>
      <x:c r="B199" t="str">
        <x:v>IMV-0019</x:v>
      </x:c>
      <x:c r="C199" s="38" t="n">
        <x:v>46082</x:v>
      </x:c>
      <x:c r="D199" s="32" t="n">
        <x:v>3850</x:v>
      </x:c>
      <x:c r="E199" s="32" t="n">
        <x:v>3850</x:v>
      </x:c>
      <x:c r="F199" s="36" t="n">
        <x:v>46091</x:v>
      </x:c>
      <x:c r="G199" s="36" t="n">
        <x:v>46093</x:v>
      </x:c>
      <x:c r="H199" t="n">
        <x:v>2</x:v>
      </x:c>
      <x:c r="I199" t="str">
        <x:v>Pago em atraso</x:v>
      </x:c>
    </x:row>
    <x:row r="200">
      <x:c r="A200" t="str">
        <x:v>PAG-000199</x:v>
      </x:c>
      <x:c r="B200" t="str">
        <x:v>IMV-0019</x:v>
      </x:c>
      <x:c r="C200" s="38" t="n">
        <x:v>46054</x:v>
      </x:c>
      <x:c r="D200" s="32" t="n">
        <x:v>3850</x:v>
      </x:c>
      <x:c r="E200" s="32" t="n">
        <x:v>3850</x:v>
      </x:c>
      <x:c r="F200" s="36" t="n">
        <x:v>46063</x:v>
      </x:c>
      <x:c r="G200" s="36" t="n">
        <x:v>46063</x:v>
      </x:c>
      <x:c r="H200" t="n">
        <x:v>0</x:v>
      </x:c>
      <x:c r="I200" t="str">
        <x:v>Pago em dia</x:v>
      </x:c>
    </x:row>
    <x:row r="201">
      <x:c r="A201" t="str">
        <x:v>PAG-000200</x:v>
      </x:c>
      <x:c r="B201" t="str">
        <x:v>IMV-0019</x:v>
      </x:c>
      <x:c r="C201" s="38" t="n">
        <x:v>46023</x:v>
      </x:c>
      <x:c r="D201" s="32" t="n">
        <x:v>3850</x:v>
      </x:c>
      <x:c r="E201" s="32" t="n">
        <x:v>3850</x:v>
      </x:c>
      <x:c r="F201" s="36" t="n">
        <x:v>46032</x:v>
      </x:c>
      <x:c r="G201" s="36" t="n">
        <x:v>46034</x:v>
      </x:c>
      <x:c r="H201" t="n">
        <x:v>2</x:v>
      </x:c>
      <x:c r="I201" t="str">
        <x:v>Pago em atraso</x:v>
      </x:c>
    </x:row>
    <x:row r="202">
      <x:c r="A202" t="str">
        <x:v>PAG-000201</x:v>
      </x:c>
      <x:c r="B202" t="str">
        <x:v>IMV-0019</x:v>
      </x:c>
      <x:c r="C202" s="38" t="n">
        <x:v>45992</x:v>
      </x:c>
      <x:c r="D202" s="32" t="n">
        <x:v>3850</x:v>
      </x:c>
      <x:c r="E202" s="32" t="n">
        <x:v>3850</x:v>
      </x:c>
      <x:c r="F202" s="36" t="n">
        <x:v>46001</x:v>
      </x:c>
      <x:c r="G202" s="36" t="n">
        <x:v>46004</x:v>
      </x:c>
      <x:c r="H202" t="n">
        <x:v>3</x:v>
      </x:c>
      <x:c r="I202" t="str">
        <x:v>Pago em atraso</x:v>
      </x:c>
    </x:row>
    <x:row r="203">
      <x:c r="A203" t="str">
        <x:v>PAG-000202</x:v>
      </x:c>
      <x:c r="B203" t="str">
        <x:v>IMV-0019</x:v>
      </x:c>
      <x:c r="C203" s="38" t="n">
        <x:v>45962</x:v>
      </x:c>
      <x:c r="D203" s="32" t="n">
        <x:v>3850</x:v>
      </x:c>
      <x:c r="E203" s="32" t="n">
        <x:v>3850</x:v>
      </x:c>
      <x:c r="F203" s="36" t="n">
        <x:v>45971</x:v>
      </x:c>
      <x:c r="G203" s="36" t="n">
        <x:v>45971</x:v>
      </x:c>
      <x:c r="H203" t="n">
        <x:v>0</x:v>
      </x:c>
      <x:c r="I203" t="str">
        <x:v>Pago em dia</x:v>
      </x:c>
    </x:row>
    <x:row r="204">
      <x:c r="A204" t="str">
        <x:v>PAG-000203</x:v>
      </x:c>
      <x:c r="B204" t="str">
        <x:v>IMV-0019</x:v>
      </x:c>
      <x:c r="C204" s="38" t="n">
        <x:v>45931</x:v>
      </x:c>
      <x:c r="D204" s="32" t="n">
        <x:v>3850</x:v>
      </x:c>
      <x:c r="E204" s="32" t="n">
        <x:v>3850</x:v>
      </x:c>
      <x:c r="F204" s="36" t="n">
        <x:v>45940</x:v>
      </x:c>
      <x:c r="G204" s="36" t="n">
        <x:v>45941</x:v>
      </x:c>
      <x:c r="H204" t="n">
        <x:v>1</x:v>
      </x:c>
      <x:c r="I204" t="str">
        <x:v>Pago em atraso</x:v>
      </x:c>
    </x:row>
    <x:row r="205">
      <x:c r="A205" t="str">
        <x:v>PAG-000204</x:v>
      </x:c>
      <x:c r="B205" t="str">
        <x:v>IMV-0019</x:v>
      </x:c>
      <x:c r="C205" s="38" t="n">
        <x:v>45901</x:v>
      </x:c>
      <x:c r="D205" s="32" t="n">
        <x:v>3850</x:v>
      </x:c>
      <x:c r="E205" s="32" t="n">
        <x:v>3850</x:v>
      </x:c>
      <x:c r="F205" s="36" t="n">
        <x:v>45910</x:v>
      </x:c>
      <x:c r="G205" s="36" t="n">
        <x:v>45910</x:v>
      </x:c>
      <x:c r="H205" t="n">
        <x:v>0</x:v>
      </x:c>
      <x:c r="I205" t="str">
        <x:v>Pago em dia</x:v>
      </x:c>
    </x:row>
    <x:row r="206">
      <x:c r="A206" t="str">
        <x:v>PAG-000205</x:v>
      </x:c>
      <x:c r="B206" t="str">
        <x:v>IMV-0020</x:v>
      </x:c>
      <x:c r="C206" s="38" t="n">
        <x:v>46235</x:v>
      </x:c>
      <x:c r="D206" s="32" t="n">
        <x:v>2050</x:v>
      </x:c>
      <x:c r="E206" s="32" t="n">
        <x:v>2050</x:v>
      </x:c>
      <x:c r="F206" s="36" t="n">
        <x:v>46244</x:v>
      </x:c>
      <x:c r="G206" s="36" t="n">
        <x:v>46304</x:v>
      </x:c>
      <x:c r="H206" t="n">
        <x:v>60</x:v>
      </x:c>
      <x:c r="I206" t="str">
        <x:v>Pago em atraso</x:v>
      </x:c>
    </x:row>
    <x:row r="207">
      <x:c r="A207" t="str">
        <x:v>PAG-000206</x:v>
      </x:c>
      <x:c r="B207" t="str">
        <x:v>IMV-0020</x:v>
      </x:c>
      <x:c r="C207" s="38" t="n">
        <x:v>46204</x:v>
      </x:c>
      <x:c r="D207" s="32" t="n">
        <x:v>2050</x:v>
      </x:c>
      <x:c r="E207" s="32" t="n">
        <x:v>2050</x:v>
      </x:c>
      <x:c r="F207" s="36" t="n">
        <x:v>46213</x:v>
      </x:c>
      <x:c r="G207" s="36" t="n">
        <x:v>46248</x:v>
      </x:c>
      <x:c r="H207" t="n">
        <x:v>35</x:v>
      </x:c>
      <x:c r="I207" t="str">
        <x:v>Pago em atraso</x:v>
      </x:c>
    </x:row>
    <x:row r="208">
      <x:c r="A208" t="str">
        <x:v>PAG-000207</x:v>
      </x:c>
      <x:c r="B208" t="str">
        <x:v>IMV-0020</x:v>
      </x:c>
      <x:c r="C208" s="38" t="n">
        <x:v>46174</x:v>
      </x:c>
      <x:c r="D208" s="32" t="n">
        <x:v>2050</x:v>
      </x:c>
      <x:c r="E208" s="32" t="n">
        <x:v>2050</x:v>
      </x:c>
      <x:c r="F208" s="36" t="n">
        <x:v>46183</x:v>
      </x:c>
      <x:c r="G208" s="36" t="n">
        <x:v>46203</x:v>
      </x:c>
      <x:c r="H208" t="n">
        <x:v>20</x:v>
      </x:c>
      <x:c r="I208" t="str">
        <x:v>Pago em atraso</x:v>
      </x:c>
    </x:row>
    <x:row r="209">
      <x:c r="A209" t="str">
        <x:v>PAG-000208</x:v>
      </x:c>
      <x:c r="B209" t="str">
        <x:v>IMV-0020</x:v>
      </x:c>
      <x:c r="C209" s="38" t="n">
        <x:v>46143</x:v>
      </x:c>
      <x:c r="D209" s="32" t="n">
        <x:v>2050</x:v>
      </x:c>
      <x:c r="E209" s="32" t="n">
        <x:v>2050</x:v>
      </x:c>
      <x:c r="F209" s="36" t="n">
        <x:v>46152</x:v>
      </x:c>
      <x:c r="G209" s="36" t="n">
        <x:v>46187</x:v>
      </x:c>
      <x:c r="H209" t="n">
        <x:v>35</x:v>
      </x:c>
      <x:c r="I209" t="str">
        <x:v>Pago em atraso</x:v>
      </x:c>
    </x:row>
    <x:row r="210">
      <x:c r="A210" t="str">
        <x:v>PAG-000209</x:v>
      </x:c>
      <x:c r="B210" t="str">
        <x:v>IMV-0020</x:v>
      </x:c>
      <x:c r="C210" s="38" t="n">
        <x:v>46113</x:v>
      </x:c>
      <x:c r="D210" s="32" t="n">
        <x:v>2050</x:v>
      </x:c>
      <x:c r="E210" s="32" t="n">
        <x:v>2050</x:v>
      </x:c>
      <x:c r="F210" s="36" t="n">
        <x:v>46122</x:v>
      </x:c>
      <x:c r="G210" s="36" t="n">
        <x:v>46134</x:v>
      </x:c>
      <x:c r="H210" t="n">
        <x:v>12</x:v>
      </x:c>
      <x:c r="I210" t="str">
        <x:v>Pago em atraso</x:v>
      </x:c>
    </x:row>
    <x:row r="211">
      <x:c r="A211" t="str">
        <x:v>PAG-000210</x:v>
      </x:c>
      <x:c r="B211" t="str">
        <x:v>IMV-0020</x:v>
      </x:c>
      <x:c r="C211" s="38" t="n">
        <x:v>46082</x:v>
      </x:c>
      <x:c r="D211" s="32" t="n">
        <x:v>2050</x:v>
      </x:c>
      <x:c r="E211" s="32" t="n">
        <x:v>2050</x:v>
      </x:c>
      <x:c r="F211" s="36" t="n">
        <x:v>46091</x:v>
      </x:c>
      <x:c r="G211" s="36" t="n">
        <x:v>46151</x:v>
      </x:c>
      <x:c r="H211" t="n">
        <x:v>60</x:v>
      </x:c>
      <x:c r="I211" t="str">
        <x:v>Pago em atraso</x:v>
      </x:c>
    </x:row>
    <x:row r="212">
      <x:c r="A212" t="str">
        <x:v>PAG-000211</x:v>
      </x:c>
      <x:c r="B212" t="str">
        <x:v>IMV-0020</x:v>
      </x:c>
      <x:c r="C212" s="38" t="n">
        <x:v>46054</x:v>
      </x:c>
      <x:c r="D212" s="32" t="n">
        <x:v>2050</x:v>
      </x:c>
      <x:c r="E212" s="32" t="n">
        <x:v>2050</x:v>
      </x:c>
      <x:c r="F212" s="36" t="n">
        <x:v>46063</x:v>
      </x:c>
      <x:c r="G212" s="36" t="n">
        <x:v>46070</x:v>
      </x:c>
      <x:c r="H212" t="n">
        <x:v>7</x:v>
      </x:c>
      <x:c r="I212" t="str">
        <x:v>Pago em atraso</x:v>
      </x:c>
    </x:row>
    <x:row r="213">
      <x:c r="A213" t="str">
        <x:v>PAG-000212</x:v>
      </x:c>
      <x:c r="B213" t="str">
        <x:v>IMV-0020</x:v>
      </x:c>
      <x:c r="C213" s="38" t="n">
        <x:v>46023</x:v>
      </x:c>
      <x:c r="D213" s="32" t="n">
        <x:v>2050</x:v>
      </x:c>
      <x:c r="E213" s="32" t="n">
        <x:v>2050</x:v>
      </x:c>
      <x:c r="F213" s="36" t="n">
        <x:v>46032</x:v>
      </x:c>
      <x:c r="G213" s="36" t="n">
        <x:v>46052</x:v>
      </x:c>
      <x:c r="H213" t="n">
        <x:v>20</x:v>
      </x:c>
      <x:c r="I213" t="str">
        <x:v>Pago em atraso</x:v>
      </x:c>
    </x:row>
    <x:row r="214">
      <x:c r="A214" t="str">
        <x:v>PAG-000213</x:v>
      </x:c>
      <x:c r="B214" t="str">
        <x:v>IMV-0020</x:v>
      </x:c>
      <x:c r="C214" s="38" t="n">
        <x:v>45992</x:v>
      </x:c>
      <x:c r="D214" s="32" t="n">
        <x:v>2050</x:v>
      </x:c>
      <x:c r="E214" s="32" t="n">
        <x:v>2050</x:v>
      </x:c>
      <x:c r="F214" s="36" t="n">
        <x:v>46001</x:v>
      </x:c>
      <x:c r="G214" s="36" t="n">
        <x:v>46036</x:v>
      </x:c>
      <x:c r="H214" t="n">
        <x:v>35</x:v>
      </x:c>
      <x:c r="I214" t="str">
        <x:v>Pago em atraso</x:v>
      </x:c>
    </x:row>
    <x:row r="215">
      <x:c r="A215" t="str">
        <x:v>PAG-000214</x:v>
      </x:c>
      <x:c r="B215" t="str">
        <x:v>IMV-0020</x:v>
      </x:c>
      <x:c r="C215" s="38" t="n">
        <x:v>45962</x:v>
      </x:c>
      <x:c r="D215" s="32" t="n">
        <x:v>2050</x:v>
      </x:c>
      <x:c r="E215" s="32" t="n">
        <x:v>2050</x:v>
      </x:c>
      <x:c r="F215" s="36" t="n">
        <x:v>45971</x:v>
      </x:c>
      <x:c r="G215" s="36" t="n">
        <x:v>45983</x:v>
      </x:c>
      <x:c r="H215" t="n">
        <x:v>12</x:v>
      </x:c>
      <x:c r="I215" t="str">
        <x:v>Pago em atraso</x:v>
      </x:c>
    </x:row>
    <x:row r="216">
      <x:c r="A216" t="str">
        <x:v>PAG-000215</x:v>
      </x:c>
      <x:c r="B216" t="str">
        <x:v>IMV-0020</x:v>
      </x:c>
      <x:c r="C216" s="38" t="n">
        <x:v>45931</x:v>
      </x:c>
      <x:c r="D216" s="32" t="n">
        <x:v>2050</x:v>
      </x:c>
      <x:c r="E216" s="32" t="n">
        <x:v>2050</x:v>
      </x:c>
      <x:c r="F216" s="36" t="n">
        <x:v>45940</x:v>
      </x:c>
      <x:c r="G216" s="36" t="n">
        <x:v>45960</x:v>
      </x:c>
      <x:c r="H216" t="n">
        <x:v>20</x:v>
      </x:c>
      <x:c r="I216" t="str">
        <x:v>Pago em atraso</x:v>
      </x:c>
    </x:row>
    <x:row r="217">
      <x:c r="A217" t="str">
        <x:v>PAG-000216</x:v>
      </x:c>
      <x:c r="B217" t="str">
        <x:v>IMV-0020</x:v>
      </x:c>
      <x:c r="C217" s="38" t="n">
        <x:v>45901</x:v>
      </x:c>
      <x:c r="D217" s="32" t="n">
        <x:v>2050</x:v>
      </x:c>
      <x:c r="E217" s="32" t="n">
        <x:v>2050</x:v>
      </x:c>
      <x:c r="F217" s="36" t="n">
        <x:v>45910</x:v>
      </x:c>
      <x:c r="G217" s="36" t="n">
        <x:v>45922</x:v>
      </x:c>
      <x:c r="H217" t="n">
        <x:v>12</x:v>
      </x:c>
      <x:c r="I217" t="str">
        <x:v>Pago em atraso</x:v>
      </x:c>
    </x:row>
    <x:row r="218">
      <x:c r="A218" t="str">
        <x:v>PAG-000217</x:v>
      </x:c>
      <x:c r="B218" t="str">
        <x:v>IMV-0021</x:v>
      </x:c>
      <x:c r="C218" s="38" t="n">
        <x:v>46235</x:v>
      </x:c>
      <x:c r="D218" s="32" t="n">
        <x:v>5750</x:v>
      </x:c>
      <x:c r="E218" s="32" t="n">
        <x:v>5750</x:v>
      </x:c>
      <x:c r="F218" s="36" t="n">
        <x:v>46244</x:v>
      </x:c>
      <x:c r="G218" s="36" t="n">
        <x:v>46251</x:v>
      </x:c>
      <x:c r="H218" t="n">
        <x:v>7</x:v>
      </x:c>
      <x:c r="I218" t="str">
        <x:v>Pago em atraso</x:v>
      </x:c>
    </x:row>
    <x:row r="219">
      <x:c r="A219" t="str">
        <x:v>PAG-000218</x:v>
      </x:c>
      <x:c r="B219" t="str">
        <x:v>IMV-0021</x:v>
      </x:c>
      <x:c r="C219" s="38" t="n">
        <x:v>46204</x:v>
      </x:c>
      <x:c r="D219" s="32" t="n">
        <x:v>5750</x:v>
      </x:c>
      <x:c r="E219" s="32" t="n">
        <x:v>5750</x:v>
      </x:c>
      <x:c r="F219" s="36" t="n">
        <x:v>46213</x:v>
      </x:c>
      <x:c r="G219" s="36" t="n">
        <x:v>46220</x:v>
      </x:c>
      <x:c r="H219" t="n">
        <x:v>7</x:v>
      </x:c>
      <x:c r="I219" t="str">
        <x:v>Pago em atraso</x:v>
      </x:c>
    </x:row>
    <x:row r="220">
      <x:c r="A220" t="str">
        <x:v>PAG-000219</x:v>
      </x:c>
      <x:c r="B220" t="str">
        <x:v>IMV-0021</x:v>
      </x:c>
      <x:c r="C220" s="38" t="n">
        <x:v>46174</x:v>
      </x:c>
      <x:c r="D220" s="32" t="n">
        <x:v>5750</x:v>
      </x:c>
      <x:c r="E220" s="32" t="n">
        <x:v>5750</x:v>
      </x:c>
      <x:c r="F220" s="36" t="n">
        <x:v>46183</x:v>
      </x:c>
      <x:c r="G220" s="36" t="n">
        <x:v>46190</x:v>
      </x:c>
      <x:c r="H220" t="n">
        <x:v>7</x:v>
      </x:c>
      <x:c r="I220" t="str">
        <x:v>Pago em atraso</x:v>
      </x:c>
    </x:row>
    <x:row r="221">
      <x:c r="A221" t="str">
        <x:v>PAG-000220</x:v>
      </x:c>
      <x:c r="B221" t="str">
        <x:v>IMV-0021</x:v>
      </x:c>
      <x:c r="C221" s="38" t="n">
        <x:v>46143</x:v>
      </x:c>
      <x:c r="D221" s="32" t="n">
        <x:v>5750</x:v>
      </x:c>
      <x:c r="E221" s="32" t="n">
        <x:v>5750</x:v>
      </x:c>
      <x:c r="F221" s="36" t="n">
        <x:v>46152</x:v>
      </x:c>
      <x:c r="G221" s="36" t="n">
        <x:v>46152</x:v>
      </x:c>
      <x:c r="H221" t="n">
        <x:v>0</x:v>
      </x:c>
      <x:c r="I221" t="str">
        <x:v>Pago em dia</x:v>
      </x:c>
    </x:row>
    <x:row r="222">
      <x:c r="A222" t="str">
        <x:v>PAG-000221</x:v>
      </x:c>
      <x:c r="B222" t="str">
        <x:v>IMV-0021</x:v>
      </x:c>
      <x:c r="C222" s="38" t="n">
        <x:v>46113</x:v>
      </x:c>
      <x:c r="D222" s="32" t="n">
        <x:v>5750</x:v>
      </x:c>
      <x:c r="E222" s="32" t="n">
        <x:v>5750</x:v>
      </x:c>
      <x:c r="F222" s="36" t="n">
        <x:v>46122</x:v>
      </x:c>
      <x:c r="G222" s="36" t="n">
        <x:v>46134</x:v>
      </x:c>
      <x:c r="H222" t="n">
        <x:v>12</x:v>
      </x:c>
      <x:c r="I222" t="str">
        <x:v>Pago em atraso</x:v>
      </x:c>
    </x:row>
    <x:row r="223">
      <x:c r="A223" t="str">
        <x:v>PAG-000222</x:v>
      </x:c>
      <x:c r="B223" t="str">
        <x:v>IMV-0021</x:v>
      </x:c>
      <x:c r="C223" s="38" t="n">
        <x:v>46082</x:v>
      </x:c>
      <x:c r="D223" s="32" t="n">
        <x:v>5750</x:v>
      </x:c>
      <x:c r="E223" s="32" t="n">
        <x:v>5750</x:v>
      </x:c>
      <x:c r="F223" s="36" t="n">
        <x:v>46091</x:v>
      </x:c>
      <x:c r="G223" s="36" t="n">
        <x:v>46091</x:v>
      </x:c>
      <x:c r="H223" t="n">
        <x:v>0</x:v>
      </x:c>
      <x:c r="I223" t="str">
        <x:v>Pago em dia</x:v>
      </x:c>
    </x:row>
    <x:row r="224">
      <x:c r="A224" t="str">
        <x:v>PAG-000223</x:v>
      </x:c>
      <x:c r="B224" t="str">
        <x:v>IMV-0021</x:v>
      </x:c>
      <x:c r="C224" s="38" t="n">
        <x:v>46054</x:v>
      </x:c>
      <x:c r="D224" s="32" t="n">
        <x:v>5750</x:v>
      </x:c>
      <x:c r="E224" s="32" t="n">
        <x:v>5750</x:v>
      </x:c>
      <x:c r="F224" s="36" t="n">
        <x:v>46063</x:v>
      </x:c>
      <x:c r="G224" s="36" t="n">
        <x:v>46063</x:v>
      </x:c>
      <x:c r="H224" t="n">
        <x:v>0</x:v>
      </x:c>
      <x:c r="I224" t="str">
        <x:v>Pago em dia</x:v>
      </x:c>
    </x:row>
    <x:row r="225">
      <x:c r="A225" t="str">
        <x:v>PAG-000224</x:v>
      </x:c>
      <x:c r="B225" t="str">
        <x:v>IMV-0021</x:v>
      </x:c>
      <x:c r="C225" s="38" t="n">
        <x:v>46023</x:v>
      </x:c>
      <x:c r="D225" s="32" t="n">
        <x:v>5750</x:v>
      </x:c>
      <x:c r="E225" s="32" t="n">
        <x:v>5750</x:v>
      </x:c>
      <x:c r="F225" s="36" t="n">
        <x:v>46032</x:v>
      </x:c>
      <x:c r="G225" s="36" t="n">
        <x:v>46052</x:v>
      </x:c>
      <x:c r="H225" t="n">
        <x:v>20</x:v>
      </x:c>
      <x:c r="I225" t="str">
        <x:v>Pago em atraso</x:v>
      </x:c>
    </x:row>
    <x:row r="226">
      <x:c r="A226" t="str">
        <x:v>PAG-000225</x:v>
      </x:c>
      <x:c r="B226" t="str">
        <x:v>IMV-0021</x:v>
      </x:c>
      <x:c r="C226" s="38" t="n">
        <x:v>45992</x:v>
      </x:c>
      <x:c r="D226" s="32" t="n">
        <x:v>5750</x:v>
      </x:c>
      <x:c r="E226" s="32" t="n">
        <x:v>5750</x:v>
      </x:c>
      <x:c r="F226" s="36" t="n">
        <x:v>46001</x:v>
      </x:c>
      <x:c r="G226" s="36" t="n">
        <x:v>46001</x:v>
      </x:c>
      <x:c r="H226" t="n">
        <x:v>0</x:v>
      </x:c>
      <x:c r="I226" t="str">
        <x:v>Pago em dia</x:v>
      </x:c>
    </x:row>
    <x:row r="227">
      <x:c r="A227" t="str">
        <x:v>PAG-000226</x:v>
      </x:c>
      <x:c r="B227" t="str">
        <x:v>IMV-0021</x:v>
      </x:c>
      <x:c r="C227" s="38" t="n">
        <x:v>45962</x:v>
      </x:c>
      <x:c r="D227" s="32" t="n">
        <x:v>5750</x:v>
      </x:c>
      <x:c r="E227" s="32" t="n">
        <x:v>5750</x:v>
      </x:c>
      <x:c r="F227" s="36" t="n">
        <x:v>45971</x:v>
      </x:c>
      <x:c r="G227" s="36" t="n">
        <x:v>45983</x:v>
      </x:c>
      <x:c r="H227" t="n">
        <x:v>12</x:v>
      </x:c>
      <x:c r="I227" t="str">
        <x:v>Pago em atraso</x:v>
      </x:c>
    </x:row>
    <x:row r="228">
      <x:c r="A228" t="str">
        <x:v>PAG-000227</x:v>
      </x:c>
      <x:c r="B228" t="str">
        <x:v>IMV-0021</x:v>
      </x:c>
      <x:c r="C228" s="38" t="n">
        <x:v>45931</x:v>
      </x:c>
      <x:c r="D228" s="32" t="n">
        <x:v>5750</x:v>
      </x:c>
      <x:c r="E228" s="32" t="n">
        <x:v>5750</x:v>
      </x:c>
      <x:c r="F228" s="36" t="n">
        <x:v>45940</x:v>
      </x:c>
      <x:c r="G228" s="36" t="n">
        <x:v>45943</x:v>
      </x:c>
      <x:c r="H228" t="n">
        <x:v>3</x:v>
      </x:c>
      <x:c r="I228" t="str">
        <x:v>Pago em atraso</x:v>
      </x:c>
    </x:row>
    <x:row r="229">
      <x:c r="A229" t="str">
        <x:v>PAG-000228</x:v>
      </x:c>
      <x:c r="B229" t="str">
        <x:v>IMV-0021</x:v>
      </x:c>
      <x:c r="C229" s="38" t="n">
        <x:v>45901</x:v>
      </x:c>
      <x:c r="D229" s="32" t="n">
        <x:v>5750</x:v>
      </x:c>
      <x:c r="E229" s="32" t="n">
        <x:v>5750</x:v>
      </x:c>
      <x:c r="F229" s="36" t="n">
        <x:v>45910</x:v>
      </x:c>
      <x:c r="G229" s="36" t="n">
        <x:v>45910</x:v>
      </x:c>
      <x:c r="H229" t="n">
        <x:v>0</x:v>
      </x:c>
      <x:c r="I229" t="str">
        <x:v>Pago em dia</x:v>
      </x:c>
    </x:row>
    <x:row r="230">
      <x:c r="A230" t="str">
        <x:v>PAG-000229</x:v>
      </x:c>
      <x:c r="B230" t="str">
        <x:v>IMV-0022</x:v>
      </x:c>
      <x:c r="C230" s="38" t="n">
        <x:v>46235</x:v>
      </x:c>
      <x:c r="D230" s="32" t="n">
        <x:v>6500</x:v>
      </x:c>
      <x:c r="E230" s="32" t="n">
        <x:v>6500</x:v>
      </x:c>
      <x:c r="F230" s="36" t="n">
        <x:v>46244</x:v>
      </x:c>
      <x:c r="G230" s="36" t="n">
        <x:v>46244</x:v>
      </x:c>
      <x:c r="H230" t="n">
        <x:v>0</x:v>
      </x:c>
      <x:c r="I230" t="str">
        <x:v>Pago em dia</x:v>
      </x:c>
    </x:row>
    <x:row r="231">
      <x:c r="A231" t="str">
        <x:v>PAG-000230</x:v>
      </x:c>
      <x:c r="B231" t="str">
        <x:v>IMV-0022</x:v>
      </x:c>
      <x:c r="C231" s="38" t="n">
        <x:v>46204</x:v>
      </x:c>
      <x:c r="D231" s="32" t="n">
        <x:v>6500</x:v>
      </x:c>
      <x:c r="E231" s="32" t="n">
        <x:v>6500</x:v>
      </x:c>
      <x:c r="F231" s="36" t="n">
        <x:v>46213</x:v>
      </x:c>
      <x:c r="G231" s="36" t="n">
        <x:v>46213</x:v>
      </x:c>
      <x:c r="H231" t="n">
        <x:v>0</x:v>
      </x:c>
      <x:c r="I231" t="str">
        <x:v>Pago em dia</x:v>
      </x:c>
    </x:row>
    <x:row r="232">
      <x:c r="A232" t="str">
        <x:v>PAG-000231</x:v>
      </x:c>
      <x:c r="B232" t="str">
        <x:v>IMV-0022</x:v>
      </x:c>
      <x:c r="C232" s="38" t="n">
        <x:v>46174</x:v>
      </x:c>
      <x:c r="D232" s="32" t="n">
        <x:v>6500</x:v>
      </x:c>
      <x:c r="E232" s="32" t="n">
        <x:v>6500</x:v>
      </x:c>
      <x:c r="F232" s="36" t="n">
        <x:v>46183</x:v>
      </x:c>
      <x:c r="G232" s="36" t="n">
        <x:v>46186</x:v>
      </x:c>
      <x:c r="H232" t="n">
        <x:v>3</x:v>
      </x:c>
      <x:c r="I232" t="str">
        <x:v>Pago em atraso</x:v>
      </x:c>
    </x:row>
    <x:row r="233">
      <x:c r="A233" t="str">
        <x:v>PAG-000232</x:v>
      </x:c>
      <x:c r="B233" t="str">
        <x:v>IMV-0022</x:v>
      </x:c>
      <x:c r="C233" s="38" t="n">
        <x:v>46143</x:v>
      </x:c>
      <x:c r="D233" s="32" t="n">
        <x:v>6500</x:v>
      </x:c>
      <x:c r="E233" s="32" t="n">
        <x:v>6500</x:v>
      </x:c>
      <x:c r="F233" s="36" t="n">
        <x:v>46152</x:v>
      </x:c>
      <x:c r="G233" s="36" t="n">
        <x:v>46154</x:v>
      </x:c>
      <x:c r="H233" t="n">
        <x:v>2</x:v>
      </x:c>
      <x:c r="I233" t="str">
        <x:v>Pago em atraso</x:v>
      </x:c>
    </x:row>
    <x:row r="234">
      <x:c r="A234" t="str">
        <x:v>PAG-000233</x:v>
      </x:c>
      <x:c r="B234" t="str">
        <x:v>IMV-0022</x:v>
      </x:c>
      <x:c r="C234" s="38" t="n">
        <x:v>46113</x:v>
      </x:c>
      <x:c r="D234" s="32" t="n">
        <x:v>6500</x:v>
      </x:c>
      <x:c r="E234" s="32" t="n">
        <x:v>6500</x:v>
      </x:c>
      <x:c r="F234" s="36" t="n">
        <x:v>46122</x:v>
      </x:c>
      <x:c r="G234" s="36" t="n">
        <x:v>46123</x:v>
      </x:c>
      <x:c r="H234" t="n">
        <x:v>1</x:v>
      </x:c>
      <x:c r="I234" t="str">
        <x:v>Pago em atraso</x:v>
      </x:c>
    </x:row>
    <x:row r="235">
      <x:c r="A235" t="str">
        <x:v>PAG-000234</x:v>
      </x:c>
      <x:c r="B235" t="str">
        <x:v>IMV-0022</x:v>
      </x:c>
      <x:c r="C235" s="38" t="n">
        <x:v>46082</x:v>
      </x:c>
      <x:c r="D235" s="32" t="n">
        <x:v>6500</x:v>
      </x:c>
      <x:c r="E235" s="32" t="n">
        <x:v>6500</x:v>
      </x:c>
      <x:c r="F235" s="36" t="n">
        <x:v>46091</x:v>
      </x:c>
      <x:c r="G235" s="36" t="n">
        <x:v>46092</x:v>
      </x:c>
      <x:c r="H235" t="n">
        <x:v>1</x:v>
      </x:c>
      <x:c r="I235" t="str">
        <x:v>Pago em atraso</x:v>
      </x:c>
    </x:row>
    <x:row r="236">
      <x:c r="A236" t="str">
        <x:v>PAG-000235</x:v>
      </x:c>
      <x:c r="B236" t="str">
        <x:v>IMV-0022</x:v>
      </x:c>
      <x:c r="C236" s="38" t="n">
        <x:v>46054</x:v>
      </x:c>
      <x:c r="D236" s="32" t="n">
        <x:v>6500</x:v>
      </x:c>
      <x:c r="E236" s="32" t="n">
        <x:v>6500</x:v>
      </x:c>
      <x:c r="F236" s="36" t="n">
        <x:v>46063</x:v>
      </x:c>
      <x:c r="G236" s="36" t="n">
        <x:v>46065</x:v>
      </x:c>
      <x:c r="H236" t="n">
        <x:v>2</x:v>
      </x:c>
      <x:c r="I236" t="str">
        <x:v>Pago em atraso</x:v>
      </x:c>
    </x:row>
    <x:row r="237">
      <x:c r="A237" t="str">
        <x:v>PAG-000236</x:v>
      </x:c>
      <x:c r="B237" t="str">
        <x:v>IMV-0022</x:v>
      </x:c>
      <x:c r="C237" s="38" t="n">
        <x:v>46023</x:v>
      </x:c>
      <x:c r="D237" s="32" t="n">
        <x:v>6500</x:v>
      </x:c>
      <x:c r="E237" s="32" t="n">
        <x:v>6500</x:v>
      </x:c>
      <x:c r="F237" s="36" t="n">
        <x:v>46032</x:v>
      </x:c>
      <x:c r="G237" s="36" t="n">
        <x:v>46032</x:v>
      </x:c>
      <x:c r="H237" t="n">
        <x:v>0</x:v>
      </x:c>
      <x:c r="I237" t="str">
        <x:v>Pago em dia</x:v>
      </x:c>
    </x:row>
    <x:row r="238">
      <x:c r="A238" t="str">
        <x:v>PAG-000237</x:v>
      </x:c>
      <x:c r="B238" t="str">
        <x:v>IMV-0022</x:v>
      </x:c>
      <x:c r="C238" s="38" t="n">
        <x:v>45992</x:v>
      </x:c>
      <x:c r="D238" s="32" t="n">
        <x:v>6500</x:v>
      </x:c>
      <x:c r="E238" s="32" t="n">
        <x:v>6500</x:v>
      </x:c>
      <x:c r="F238" s="36" t="n">
        <x:v>46001</x:v>
      </x:c>
      <x:c r="G238" s="36" t="n">
        <x:v>46003</x:v>
      </x:c>
      <x:c r="H238" t="n">
        <x:v>2</x:v>
      </x:c>
      <x:c r="I238" t="str">
        <x:v>Pago em atraso</x:v>
      </x:c>
    </x:row>
    <x:row r="239">
      <x:c r="A239" t="str">
        <x:v>PAG-000238</x:v>
      </x:c>
      <x:c r="B239" t="str">
        <x:v>IMV-0022</x:v>
      </x:c>
      <x:c r="C239" s="38" t="n">
        <x:v>45962</x:v>
      </x:c>
      <x:c r="D239" s="32" t="n">
        <x:v>6500</x:v>
      </x:c>
      <x:c r="E239" s="32" t="n">
        <x:v>6500</x:v>
      </x:c>
      <x:c r="F239" s="36" t="n">
        <x:v>45971</x:v>
      </x:c>
      <x:c r="G239" s="36" t="n">
        <x:v>45971</x:v>
      </x:c>
      <x:c r="H239" t="n">
        <x:v>0</x:v>
      </x:c>
      <x:c r="I239" t="str">
        <x:v>Pago em dia</x:v>
      </x:c>
    </x:row>
    <x:row r="240">
      <x:c r="A240" t="str">
        <x:v>PAG-000239</x:v>
      </x:c>
      <x:c r="B240" t="str">
        <x:v>IMV-0022</x:v>
      </x:c>
      <x:c r="C240" s="38" t="n">
        <x:v>45931</x:v>
      </x:c>
      <x:c r="D240" s="32" t="n">
        <x:v>6500</x:v>
      </x:c>
      <x:c r="E240" s="32" t="n">
        <x:v>6500</x:v>
      </x:c>
      <x:c r="F240" s="36" t="n">
        <x:v>45940</x:v>
      </x:c>
      <x:c r="G240" s="36" t="n">
        <x:v>45942</x:v>
      </x:c>
      <x:c r="H240" t="n">
        <x:v>2</x:v>
      </x:c>
      <x:c r="I240" t="str">
        <x:v>Pago em atraso</x:v>
      </x:c>
    </x:row>
    <x:row r="241">
      <x:c r="A241" t="str">
        <x:v>PAG-000240</x:v>
      </x:c>
      <x:c r="B241" t="str">
        <x:v>IMV-0022</x:v>
      </x:c>
      <x:c r="C241" s="38" t="n">
        <x:v>45901</x:v>
      </x:c>
      <x:c r="D241" s="32" t="n">
        <x:v>6500</x:v>
      </x:c>
      <x:c r="E241" s="32" t="n">
        <x:v>6500</x:v>
      </x:c>
      <x:c r="F241" s="36" t="n">
        <x:v>45910</x:v>
      </x:c>
      <x:c r="G241" s="36" t="n">
        <x:v>45910</x:v>
      </x:c>
      <x:c r="H241" t="n">
        <x:v>0</x:v>
      </x:c>
      <x:c r="I241" t="str">
        <x:v>Pago em dia</x:v>
      </x:c>
    </x:row>
    <x:row r="242">
      <x:c r="A242" t="str">
        <x:v>PAG-000241</x:v>
      </x:c>
      <x:c r="B242" t="str">
        <x:v>IMV-0023</x:v>
      </x:c>
      <x:c r="C242" s="38" t="n">
        <x:v>46235</x:v>
      </x:c>
      <x:c r="D242" s="32" t="n">
        <x:v>1650</x:v>
      </x:c>
      <x:c r="E242" s="32" t="n">
        <x:v>0</x:v>
      </x:c>
      <x:c r="F242" s="36" t="n">
        <x:v>46244</x:v>
      </x:c>
      <x:c r="G242" s="36"/>
      <x:c r="H242" t="n">
        <x:v>-7</x:v>
      </x:c>
      <x:c r="I242" t="str">
        <x:v>Em aberto</x:v>
      </x:c>
    </x:row>
    <x:row r="243">
      <x:c r="A243" t="str">
        <x:v>PAG-000242</x:v>
      </x:c>
      <x:c r="B243" t="str">
        <x:v>IMV-0023</x:v>
      </x:c>
      <x:c r="C243" s="38" t="n">
        <x:v>46204</x:v>
      </x:c>
      <x:c r="D243" s="32" t="n">
        <x:v>1650</x:v>
      </x:c>
      <x:c r="E243" s="32" t="n">
        <x:v>1650</x:v>
      </x:c>
      <x:c r="F243" s="36" t="n">
        <x:v>46213</x:v>
      </x:c>
      <x:c r="G243" s="36" t="n">
        <x:v>46225</x:v>
      </x:c>
      <x:c r="H243" t="n">
        <x:v>12</x:v>
      </x:c>
      <x:c r="I243" t="str">
        <x:v>Pago em atraso</x:v>
      </x:c>
    </x:row>
    <x:row r="244">
      <x:c r="A244" t="str">
        <x:v>PAG-000243</x:v>
      </x:c>
      <x:c r="B244" t="str">
        <x:v>IMV-0023</x:v>
      </x:c>
      <x:c r="C244" s="38" t="n">
        <x:v>46174</x:v>
      </x:c>
      <x:c r="D244" s="32" t="n">
        <x:v>1650</x:v>
      </x:c>
      <x:c r="E244" s="32" t="n">
        <x:v>1650</x:v>
      </x:c>
      <x:c r="F244" s="36" t="n">
        <x:v>46183</x:v>
      </x:c>
      <x:c r="G244" s="36" t="n">
        <x:v>46218</x:v>
      </x:c>
      <x:c r="H244" t="n">
        <x:v>35</x:v>
      </x:c>
      <x:c r="I244" t="str">
        <x:v>Pago em atraso</x:v>
      </x:c>
    </x:row>
    <x:row r="245">
      <x:c r="A245" t="str">
        <x:v>PAG-000244</x:v>
      </x:c>
      <x:c r="B245" t="str">
        <x:v>IMV-0023</x:v>
      </x:c>
      <x:c r="C245" s="38" t="n">
        <x:v>46143</x:v>
      </x:c>
      <x:c r="D245" s="32" t="n">
        <x:v>1650</x:v>
      </x:c>
      <x:c r="E245" s="32" t="n">
        <x:v>1650</x:v>
      </x:c>
      <x:c r="F245" s="36" t="n">
        <x:v>46152</x:v>
      </x:c>
      <x:c r="G245" s="36" t="n">
        <x:v>46164</x:v>
      </x:c>
      <x:c r="H245" t="n">
        <x:v>12</x:v>
      </x:c>
      <x:c r="I245" t="str">
        <x:v>Pago em atraso</x:v>
      </x:c>
    </x:row>
    <x:row r="246">
      <x:c r="A246" t="str">
        <x:v>PAG-000245</x:v>
      </x:c>
      <x:c r="B246" t="str">
        <x:v>IMV-0023</x:v>
      </x:c>
      <x:c r="C246" s="38" t="n">
        <x:v>46113</x:v>
      </x:c>
      <x:c r="D246" s="32" t="n">
        <x:v>1650</x:v>
      </x:c>
      <x:c r="E246" s="32" t="n">
        <x:v>1650</x:v>
      </x:c>
      <x:c r="F246" s="36" t="n">
        <x:v>46122</x:v>
      </x:c>
      <x:c r="G246" s="36" t="n">
        <x:v>46134</x:v>
      </x:c>
      <x:c r="H246" t="n">
        <x:v>12</x:v>
      </x:c>
      <x:c r="I246" t="str">
        <x:v>Pago em atraso</x:v>
      </x:c>
    </x:row>
    <x:row r="247">
      <x:c r="A247" t="str">
        <x:v>PAG-000246</x:v>
      </x:c>
      <x:c r="B247" t="str">
        <x:v>IMV-0023</x:v>
      </x:c>
      <x:c r="C247" s="38" t="n">
        <x:v>46082</x:v>
      </x:c>
      <x:c r="D247" s="32" t="n">
        <x:v>1650</x:v>
      </x:c>
      <x:c r="E247" s="32" t="n">
        <x:v>1650</x:v>
      </x:c>
      <x:c r="F247" s="36" t="n">
        <x:v>46091</x:v>
      </x:c>
      <x:c r="G247" s="36" t="n">
        <x:v>46103</x:v>
      </x:c>
      <x:c r="H247" t="n">
        <x:v>12</x:v>
      </x:c>
      <x:c r="I247" t="str">
        <x:v>Pago em atraso</x:v>
      </x:c>
    </x:row>
    <x:row r="248">
      <x:c r="A248" t="str">
        <x:v>PAG-000247</x:v>
      </x:c>
      <x:c r="B248" t="str">
        <x:v>IMV-0023</x:v>
      </x:c>
      <x:c r="C248" s="38" t="n">
        <x:v>46054</x:v>
      </x:c>
      <x:c r="D248" s="32" t="n">
        <x:v>1650</x:v>
      </x:c>
      <x:c r="E248" s="32" t="n">
        <x:v>1650</x:v>
      </x:c>
      <x:c r="F248" s="36" t="n">
        <x:v>46063</x:v>
      </x:c>
      <x:c r="G248" s="36" t="n">
        <x:v>46075</x:v>
      </x:c>
      <x:c r="H248" t="n">
        <x:v>12</x:v>
      </x:c>
      <x:c r="I248" t="str">
        <x:v>Pago em atraso</x:v>
      </x:c>
    </x:row>
    <x:row r="249">
      <x:c r="A249" t="str">
        <x:v>PAG-000248</x:v>
      </x:c>
      <x:c r="B249" t="str">
        <x:v>IMV-0023</x:v>
      </x:c>
      <x:c r="C249" s="38" t="n">
        <x:v>46023</x:v>
      </x:c>
      <x:c r="D249" s="32" t="n">
        <x:v>1650</x:v>
      </x:c>
      <x:c r="E249" s="32" t="n">
        <x:v>1650</x:v>
      </x:c>
      <x:c r="F249" s="36" t="n">
        <x:v>46032</x:v>
      </x:c>
      <x:c r="G249" s="36" t="n">
        <x:v>46044</x:v>
      </x:c>
      <x:c r="H249" t="n">
        <x:v>12</x:v>
      </x:c>
      <x:c r="I249" t="str">
        <x:v>Pago em atraso</x:v>
      </x:c>
    </x:row>
    <x:row r="250">
      <x:c r="A250" t="str">
        <x:v>PAG-000249</x:v>
      </x:c>
      <x:c r="B250" t="str">
        <x:v>IMV-0023</x:v>
      </x:c>
      <x:c r="C250" s="38" t="n">
        <x:v>45992</x:v>
      </x:c>
      <x:c r="D250" s="32" t="n">
        <x:v>1650</x:v>
      </x:c>
      <x:c r="E250" s="32" t="n">
        <x:v>1650</x:v>
      </x:c>
      <x:c r="F250" s="36" t="n">
        <x:v>46001</x:v>
      </x:c>
      <x:c r="G250" s="36" t="n">
        <x:v>46013</x:v>
      </x:c>
      <x:c r="H250" t="n">
        <x:v>12</x:v>
      </x:c>
      <x:c r="I250" t="str">
        <x:v>Pago em atraso</x:v>
      </x:c>
    </x:row>
    <x:row r="251">
      <x:c r="A251" t="str">
        <x:v>PAG-000250</x:v>
      </x:c>
      <x:c r="B251" t="str">
        <x:v>IMV-0023</x:v>
      </x:c>
      <x:c r="C251" s="38" t="n">
        <x:v>45962</x:v>
      </x:c>
      <x:c r="D251" s="32" t="n">
        <x:v>1650</x:v>
      </x:c>
      <x:c r="E251" s="32" t="n">
        <x:v>1650</x:v>
      </x:c>
      <x:c r="F251" s="36" t="n">
        <x:v>45971</x:v>
      </x:c>
      <x:c r="G251" s="36" t="n">
        <x:v>46006</x:v>
      </x:c>
      <x:c r="H251" t="n">
        <x:v>35</x:v>
      </x:c>
      <x:c r="I251" t="str">
        <x:v>Pago em atraso</x:v>
      </x:c>
    </x:row>
    <x:row r="252">
      <x:c r="A252" t="str">
        <x:v>PAG-000251</x:v>
      </x:c>
      <x:c r="B252" t="str">
        <x:v>IMV-0023</x:v>
      </x:c>
      <x:c r="C252" s="38" t="n">
        <x:v>45931</x:v>
      </x:c>
      <x:c r="D252" s="32" t="n">
        <x:v>1650</x:v>
      </x:c>
      <x:c r="E252" s="32" t="n">
        <x:v>1650</x:v>
      </x:c>
      <x:c r="F252" s="36" t="n">
        <x:v>45940</x:v>
      </x:c>
      <x:c r="G252" s="36" t="n">
        <x:v>45947</x:v>
      </x:c>
      <x:c r="H252" t="n">
        <x:v>7</x:v>
      </x:c>
      <x:c r="I252" t="str">
        <x:v>Pago em atraso</x:v>
      </x:c>
    </x:row>
    <x:row r="253">
      <x:c r="A253" t="str">
        <x:v>PAG-000252</x:v>
      </x:c>
      <x:c r="B253" t="str">
        <x:v>IMV-0023</x:v>
      </x:c>
      <x:c r="C253" s="38" t="n">
        <x:v>45901</x:v>
      </x:c>
      <x:c r="D253" s="32" t="n">
        <x:v>1650</x:v>
      </x:c>
      <x:c r="E253" s="32" t="n">
        <x:v>1650</x:v>
      </x:c>
      <x:c r="F253" s="36" t="n">
        <x:v>45910</x:v>
      </x:c>
      <x:c r="G253" s="36" t="n">
        <x:v>45970</x:v>
      </x:c>
      <x:c r="H253" t="n">
        <x:v>60</x:v>
      </x:c>
      <x:c r="I253" t="str">
        <x:v>Pago em atraso</x:v>
      </x:c>
    </x:row>
    <x:row r="254">
      <x:c r="A254" t="str">
        <x:v>PAG-000253</x:v>
      </x:c>
      <x:c r="B254" t="str">
        <x:v>IMV-0024</x:v>
      </x:c>
      <x:c r="C254" s="38" t="n">
        <x:v>46235</x:v>
      </x:c>
      <x:c r="D254" s="32" t="n">
        <x:v>1650</x:v>
      </x:c>
      <x:c r="E254" s="32" t="n">
        <x:v>1650</x:v>
      </x:c>
      <x:c r="F254" s="36" t="n">
        <x:v>46244</x:v>
      </x:c>
      <x:c r="G254" s="36" t="n">
        <x:v>46246</x:v>
      </x:c>
      <x:c r="H254" t="n">
        <x:v>2</x:v>
      </x:c>
      <x:c r="I254" t="str">
        <x:v>Pago em atraso</x:v>
      </x:c>
    </x:row>
    <x:row r="255">
      <x:c r="A255" t="str">
        <x:v>PAG-000254</x:v>
      </x:c>
      <x:c r="B255" t="str">
        <x:v>IMV-0024</x:v>
      </x:c>
      <x:c r="C255" s="38" t="n">
        <x:v>46204</x:v>
      </x:c>
      <x:c r="D255" s="32" t="n">
        <x:v>1650</x:v>
      </x:c>
      <x:c r="E255" s="32" t="n">
        <x:v>1650</x:v>
      </x:c>
      <x:c r="F255" s="36" t="n">
        <x:v>46213</x:v>
      </x:c>
      <x:c r="G255" s="36" t="n">
        <x:v>46213</x:v>
      </x:c>
      <x:c r="H255" t="n">
        <x:v>0</x:v>
      </x:c>
      <x:c r="I255" t="str">
        <x:v>Pago em dia</x:v>
      </x:c>
    </x:row>
    <x:row r="256">
      <x:c r="A256" t="str">
        <x:v>PAG-000255</x:v>
      </x:c>
      <x:c r="B256" t="str">
        <x:v>IMV-0024</x:v>
      </x:c>
      <x:c r="C256" s="38" t="n">
        <x:v>46174</x:v>
      </x:c>
      <x:c r="D256" s="32" t="n">
        <x:v>1650</x:v>
      </x:c>
      <x:c r="E256" s="32" t="n">
        <x:v>1650</x:v>
      </x:c>
      <x:c r="F256" s="36" t="n">
        <x:v>46183</x:v>
      </x:c>
      <x:c r="G256" s="36" t="n">
        <x:v>46183</x:v>
      </x:c>
      <x:c r="H256" t="n">
        <x:v>0</x:v>
      </x:c>
      <x:c r="I256" t="str">
        <x:v>Pago em dia</x:v>
      </x:c>
    </x:row>
    <x:row r="257">
      <x:c r="A257" t="str">
        <x:v>PAG-000256</x:v>
      </x:c>
      <x:c r="B257" t="str">
        <x:v>IMV-0024</x:v>
      </x:c>
      <x:c r="C257" s="38" t="n">
        <x:v>46143</x:v>
      </x:c>
      <x:c r="D257" s="32" t="n">
        <x:v>1650</x:v>
      </x:c>
      <x:c r="E257" s="32" t="n">
        <x:v>1650</x:v>
      </x:c>
      <x:c r="F257" s="36" t="n">
        <x:v>46152</x:v>
      </x:c>
      <x:c r="G257" s="36" t="n">
        <x:v>46152</x:v>
      </x:c>
      <x:c r="H257" t="n">
        <x:v>0</x:v>
      </x:c>
      <x:c r="I257" t="str">
        <x:v>Pago em dia</x:v>
      </x:c>
    </x:row>
    <x:row r="258">
      <x:c r="A258" t="str">
        <x:v>PAG-000257</x:v>
      </x:c>
      <x:c r="B258" t="str">
        <x:v>IMV-0024</x:v>
      </x:c>
      <x:c r="C258" s="38" t="n">
        <x:v>46113</x:v>
      </x:c>
      <x:c r="D258" s="32" t="n">
        <x:v>1650</x:v>
      </x:c>
      <x:c r="E258" s="32" t="n">
        <x:v>1650</x:v>
      </x:c>
      <x:c r="F258" s="36" t="n">
        <x:v>46122</x:v>
      </x:c>
      <x:c r="G258" s="36" t="n">
        <x:v>46122</x:v>
      </x:c>
      <x:c r="H258" t="n">
        <x:v>0</x:v>
      </x:c>
      <x:c r="I258" t="str">
        <x:v>Pago em dia</x:v>
      </x:c>
    </x:row>
    <x:row r="259">
      <x:c r="A259" t="str">
        <x:v>PAG-000258</x:v>
      </x:c>
      <x:c r="B259" t="str">
        <x:v>IMV-0024</x:v>
      </x:c>
      <x:c r="C259" s="38" t="n">
        <x:v>46082</x:v>
      </x:c>
      <x:c r="D259" s="32" t="n">
        <x:v>1650</x:v>
      </x:c>
      <x:c r="E259" s="32" t="n">
        <x:v>1650</x:v>
      </x:c>
      <x:c r="F259" s="36" t="n">
        <x:v>46091</x:v>
      </x:c>
      <x:c r="G259" s="36" t="n">
        <x:v>46091</x:v>
      </x:c>
      <x:c r="H259" t="n">
        <x:v>0</x:v>
      </x:c>
      <x:c r="I259" t="str">
        <x:v>Pago em dia</x:v>
      </x:c>
    </x:row>
    <x:row r="260">
      <x:c r="A260" t="str">
        <x:v>PAG-000259</x:v>
      </x:c>
      <x:c r="B260" t="str">
        <x:v>IMV-0024</x:v>
      </x:c>
      <x:c r="C260" s="38" t="n">
        <x:v>46054</x:v>
      </x:c>
      <x:c r="D260" s="32" t="n">
        <x:v>1650</x:v>
      </x:c>
      <x:c r="E260" s="32" t="n">
        <x:v>1650</x:v>
      </x:c>
      <x:c r="F260" s="36" t="n">
        <x:v>46063</x:v>
      </x:c>
      <x:c r="G260" s="36" t="n">
        <x:v>46063</x:v>
      </x:c>
      <x:c r="H260" t="n">
        <x:v>0</x:v>
      </x:c>
      <x:c r="I260" t="str">
        <x:v>Pago em dia</x:v>
      </x:c>
    </x:row>
    <x:row r="261">
      <x:c r="A261" t="str">
        <x:v>PAG-000260</x:v>
      </x:c>
      <x:c r="B261" t="str">
        <x:v>IMV-0024</x:v>
      </x:c>
      <x:c r="C261" s="38" t="n">
        <x:v>46023</x:v>
      </x:c>
      <x:c r="D261" s="32" t="n">
        <x:v>1650</x:v>
      </x:c>
      <x:c r="E261" s="32" t="n">
        <x:v>1650</x:v>
      </x:c>
      <x:c r="F261" s="36" t="n">
        <x:v>46032</x:v>
      </x:c>
      <x:c r="G261" s="36" t="n">
        <x:v>46032</x:v>
      </x:c>
      <x:c r="H261" t="n">
        <x:v>0</x:v>
      </x:c>
      <x:c r="I261" t="str">
        <x:v>Pago em dia</x:v>
      </x:c>
    </x:row>
    <x:row r="262">
      <x:c r="A262" t="str">
        <x:v>PAG-000261</x:v>
      </x:c>
      <x:c r="B262" t="str">
        <x:v>IMV-0024</x:v>
      </x:c>
      <x:c r="C262" s="38" t="n">
        <x:v>45992</x:v>
      </x:c>
      <x:c r="D262" s="32" t="n">
        <x:v>1650</x:v>
      </x:c>
      <x:c r="E262" s="32" t="n">
        <x:v>1650</x:v>
      </x:c>
      <x:c r="F262" s="36" t="n">
        <x:v>46001</x:v>
      </x:c>
      <x:c r="G262" s="36" t="n">
        <x:v>46001</x:v>
      </x:c>
      <x:c r="H262" t="n">
        <x:v>0</x:v>
      </x:c>
      <x:c r="I262" t="str">
        <x:v>Pago em dia</x:v>
      </x:c>
    </x:row>
    <x:row r="263">
      <x:c r="A263" t="str">
        <x:v>PAG-000262</x:v>
      </x:c>
      <x:c r="B263" t="str">
        <x:v>IMV-0024</x:v>
      </x:c>
      <x:c r="C263" s="38" t="n">
        <x:v>45962</x:v>
      </x:c>
      <x:c r="D263" s="32" t="n">
        <x:v>1650</x:v>
      </x:c>
      <x:c r="E263" s="32" t="n">
        <x:v>1650</x:v>
      </x:c>
      <x:c r="F263" s="36" t="n">
        <x:v>45971</x:v>
      </x:c>
      <x:c r="G263" s="36" t="n">
        <x:v>45972</x:v>
      </x:c>
      <x:c r="H263" t="n">
        <x:v>1</x:v>
      </x:c>
      <x:c r="I263" t="str">
        <x:v>Pago em atraso</x:v>
      </x:c>
    </x:row>
    <x:row r="264">
      <x:c r="A264" t="str">
        <x:v>PAG-000263</x:v>
      </x:c>
      <x:c r="B264" t="str">
        <x:v>IMV-0024</x:v>
      </x:c>
      <x:c r="C264" s="38" t="n">
        <x:v>45931</x:v>
      </x:c>
      <x:c r="D264" s="32" t="n">
        <x:v>1650</x:v>
      </x:c>
      <x:c r="E264" s="32" t="n">
        <x:v>1650</x:v>
      </x:c>
      <x:c r="F264" s="36" t="n">
        <x:v>45940</x:v>
      </x:c>
      <x:c r="G264" s="36" t="n">
        <x:v>45940</x:v>
      </x:c>
      <x:c r="H264" t="n">
        <x:v>0</x:v>
      </x:c>
      <x:c r="I264" t="str">
        <x:v>Pago em dia</x:v>
      </x:c>
    </x:row>
    <x:row r="265">
      <x:c r="A265" t="str">
        <x:v>PAG-000264</x:v>
      </x:c>
      <x:c r="B265" t="str">
        <x:v>IMV-0024</x:v>
      </x:c>
      <x:c r="C265" s="38" t="n">
        <x:v>45901</x:v>
      </x:c>
      <x:c r="D265" s="32" t="n">
        <x:v>1650</x:v>
      </x:c>
      <x:c r="E265" s="32" t="n">
        <x:v>1650</x:v>
      </x:c>
      <x:c r="F265" s="36" t="n">
        <x:v>45910</x:v>
      </x:c>
      <x:c r="G265" s="36" t="n">
        <x:v>45910</x:v>
      </x:c>
      <x:c r="H265" t="n">
        <x:v>0</x:v>
      </x:c>
      <x:c r="I265" t="str">
        <x:v>Pago em dia</x:v>
      </x:c>
    </x:row>
    <x:row r="266">
      <x:c r="A266" t="str">
        <x:v>PAG-000265</x:v>
      </x:c>
      <x:c r="B266" t="str">
        <x:v>IMV-0025</x:v>
      </x:c>
      <x:c r="C266" s="38" t="n">
        <x:v>46235</x:v>
      </x:c>
      <x:c r="D266" s="32" t="n">
        <x:v>4550</x:v>
      </x:c>
      <x:c r="E266" s="32" t="n">
        <x:v>4550</x:v>
      </x:c>
      <x:c r="F266" s="36" t="n">
        <x:v>46244</x:v>
      </x:c>
      <x:c r="G266" s="36" t="n">
        <x:v>46249</x:v>
      </x:c>
      <x:c r="H266" t="n">
        <x:v>5</x:v>
      </x:c>
      <x:c r="I266" t="str">
        <x:v>Pago em atraso</x:v>
      </x:c>
    </x:row>
    <x:row r="267">
      <x:c r="A267" t="str">
        <x:v>PAG-000266</x:v>
      </x:c>
      <x:c r="B267" t="str">
        <x:v>IMV-0025</x:v>
      </x:c>
      <x:c r="C267" s="38" t="n">
        <x:v>46204</x:v>
      </x:c>
      <x:c r="D267" s="32" t="n">
        <x:v>4550</x:v>
      </x:c>
      <x:c r="E267" s="32" t="n">
        <x:v>4550</x:v>
      </x:c>
      <x:c r="F267" s="36" t="n">
        <x:v>46213</x:v>
      </x:c>
      <x:c r="G267" s="36" t="n">
        <x:v>46213</x:v>
      </x:c>
      <x:c r="H267" t="n">
        <x:v>0</x:v>
      </x:c>
      <x:c r="I267" t="str">
        <x:v>Pago em dia</x:v>
      </x:c>
    </x:row>
    <x:row r="268">
      <x:c r="A268" t="str">
        <x:v>PAG-000267</x:v>
      </x:c>
      <x:c r="B268" t="str">
        <x:v>IMV-0025</x:v>
      </x:c>
      <x:c r="C268" s="38" t="n">
        <x:v>46174</x:v>
      </x:c>
      <x:c r="D268" s="32" t="n">
        <x:v>4550</x:v>
      </x:c>
      <x:c r="E268" s="32" t="n">
        <x:v>4550</x:v>
      </x:c>
      <x:c r="F268" s="36" t="n">
        <x:v>46183</x:v>
      </x:c>
      <x:c r="G268" s="36" t="n">
        <x:v>46185</x:v>
      </x:c>
      <x:c r="H268" t="n">
        <x:v>2</x:v>
      </x:c>
      <x:c r="I268" t="str">
        <x:v>Pago em atraso</x:v>
      </x:c>
    </x:row>
    <x:row r="269">
      <x:c r="A269" t="str">
        <x:v>PAG-000268</x:v>
      </x:c>
      <x:c r="B269" t="str">
        <x:v>IMV-0025</x:v>
      </x:c>
      <x:c r="C269" s="38" t="n">
        <x:v>46143</x:v>
      </x:c>
      <x:c r="D269" s="32" t="n">
        <x:v>4550</x:v>
      </x:c>
      <x:c r="E269" s="32" t="n">
        <x:v>4550</x:v>
      </x:c>
      <x:c r="F269" s="36" t="n">
        <x:v>46152</x:v>
      </x:c>
      <x:c r="G269" s="36" t="n">
        <x:v>46153</x:v>
      </x:c>
      <x:c r="H269" t="n">
        <x:v>1</x:v>
      </x:c>
      <x:c r="I269" t="str">
        <x:v>Pago em atraso</x:v>
      </x:c>
    </x:row>
    <x:row r="270">
      <x:c r="A270" t="str">
        <x:v>PAG-000269</x:v>
      </x:c>
      <x:c r="B270" t="str">
        <x:v>IMV-0025</x:v>
      </x:c>
      <x:c r="C270" s="38" t="n">
        <x:v>46113</x:v>
      </x:c>
      <x:c r="D270" s="32" t="n">
        <x:v>4550</x:v>
      </x:c>
      <x:c r="E270" s="32" t="n">
        <x:v>4550</x:v>
      </x:c>
      <x:c r="F270" s="36" t="n">
        <x:v>46122</x:v>
      </x:c>
      <x:c r="G270" s="36" t="n">
        <x:v>46124</x:v>
      </x:c>
      <x:c r="H270" t="n">
        <x:v>2</x:v>
      </x:c>
      <x:c r="I270" t="str">
        <x:v>Pago em atraso</x:v>
      </x:c>
    </x:row>
    <x:row r="271">
      <x:c r="A271" t="str">
        <x:v>PAG-000270</x:v>
      </x:c>
      <x:c r="B271" t="str">
        <x:v>IMV-0025</x:v>
      </x:c>
      <x:c r="C271" s="38" t="n">
        <x:v>46082</x:v>
      </x:c>
      <x:c r="D271" s="32" t="n">
        <x:v>4550</x:v>
      </x:c>
      <x:c r="E271" s="32" t="n">
        <x:v>4550</x:v>
      </x:c>
      <x:c r="F271" s="36" t="n">
        <x:v>46091</x:v>
      </x:c>
      <x:c r="G271" s="36" t="n">
        <x:v>46091</x:v>
      </x:c>
      <x:c r="H271" t="n">
        <x:v>0</x:v>
      </x:c>
      <x:c r="I271" t="str">
        <x:v>Pago em dia</x:v>
      </x:c>
    </x:row>
    <x:row r="272">
      <x:c r="A272" t="str">
        <x:v>PAG-000271</x:v>
      </x:c>
      <x:c r="B272" t="str">
        <x:v>IMV-0025</x:v>
      </x:c>
      <x:c r="C272" s="38" t="n">
        <x:v>46054</x:v>
      </x:c>
      <x:c r="D272" s="32" t="n">
        <x:v>4550</x:v>
      </x:c>
      <x:c r="E272" s="32" t="n">
        <x:v>4550</x:v>
      </x:c>
      <x:c r="F272" s="36" t="n">
        <x:v>46063</x:v>
      </x:c>
      <x:c r="G272" s="36" t="n">
        <x:v>46063</x:v>
      </x:c>
      <x:c r="H272" t="n">
        <x:v>0</x:v>
      </x:c>
      <x:c r="I272" t="str">
        <x:v>Pago em dia</x:v>
      </x:c>
    </x:row>
    <x:row r="273">
      <x:c r="A273" t="str">
        <x:v>PAG-000272</x:v>
      </x:c>
      <x:c r="B273" t="str">
        <x:v>IMV-0025</x:v>
      </x:c>
      <x:c r="C273" s="38" t="n">
        <x:v>46023</x:v>
      </x:c>
      <x:c r="D273" s="32" t="n">
        <x:v>4550</x:v>
      </x:c>
      <x:c r="E273" s="32" t="n">
        <x:v>4550</x:v>
      </x:c>
      <x:c r="F273" s="36" t="n">
        <x:v>46032</x:v>
      </x:c>
      <x:c r="G273" s="36" t="n">
        <x:v>46033</x:v>
      </x:c>
      <x:c r="H273" t="n">
        <x:v>1</x:v>
      </x:c>
      <x:c r="I273" t="str">
        <x:v>Pago em atraso</x:v>
      </x:c>
    </x:row>
    <x:row r="274">
      <x:c r="A274" t="str">
        <x:v>PAG-000273</x:v>
      </x:c>
      <x:c r="B274" t="str">
        <x:v>IMV-0025</x:v>
      </x:c>
      <x:c r="C274" s="38" t="n">
        <x:v>45992</x:v>
      </x:c>
      <x:c r="D274" s="32" t="n">
        <x:v>4550</x:v>
      </x:c>
      <x:c r="E274" s="32" t="n">
        <x:v>4550</x:v>
      </x:c>
      <x:c r="F274" s="36" t="n">
        <x:v>46001</x:v>
      </x:c>
      <x:c r="G274" s="36" t="n">
        <x:v>46001</x:v>
      </x:c>
      <x:c r="H274" t="n">
        <x:v>0</x:v>
      </x:c>
      <x:c r="I274" t="str">
        <x:v>Pago em dia</x:v>
      </x:c>
    </x:row>
    <x:row r="275">
      <x:c r="A275" t="str">
        <x:v>PAG-000274</x:v>
      </x:c>
      <x:c r="B275" t="str">
        <x:v>IMV-0025</x:v>
      </x:c>
      <x:c r="C275" s="38" t="n">
        <x:v>45962</x:v>
      </x:c>
      <x:c r="D275" s="32" t="n">
        <x:v>4550</x:v>
      </x:c>
      <x:c r="E275" s="32" t="n">
        <x:v>4550</x:v>
      </x:c>
      <x:c r="F275" s="36" t="n">
        <x:v>45971</x:v>
      </x:c>
      <x:c r="G275" s="36" t="n">
        <x:v>45971</x:v>
      </x:c>
      <x:c r="H275" t="n">
        <x:v>0</x:v>
      </x:c>
      <x:c r="I275" t="str">
        <x:v>Pago em dia</x:v>
      </x:c>
    </x:row>
    <x:row r="276">
      <x:c r="A276" t="str">
        <x:v>PAG-000275</x:v>
      </x:c>
      <x:c r="B276" t="str">
        <x:v>IMV-0025</x:v>
      </x:c>
      <x:c r="C276" s="38" t="n">
        <x:v>45931</x:v>
      </x:c>
      <x:c r="D276" s="32" t="n">
        <x:v>4550</x:v>
      </x:c>
      <x:c r="E276" s="32" t="n">
        <x:v>4550</x:v>
      </x:c>
      <x:c r="F276" s="36" t="n">
        <x:v>45940</x:v>
      </x:c>
      <x:c r="G276" s="36" t="n">
        <x:v>45940</x:v>
      </x:c>
      <x:c r="H276" t="n">
        <x:v>0</x:v>
      </x:c>
      <x:c r="I276" t="str">
        <x:v>Pago em dia</x:v>
      </x:c>
    </x:row>
    <x:row r="277">
      <x:c r="A277" t="str">
        <x:v>PAG-000276</x:v>
      </x:c>
      <x:c r="B277" t="str">
        <x:v>IMV-0025</x:v>
      </x:c>
      <x:c r="C277" s="38" t="n">
        <x:v>45901</x:v>
      </x:c>
      <x:c r="D277" s="32" t="n">
        <x:v>4550</x:v>
      </x:c>
      <x:c r="E277" s="32" t="n">
        <x:v>4550</x:v>
      </x:c>
      <x:c r="F277" s="36" t="n">
        <x:v>45910</x:v>
      </x:c>
      <x:c r="G277" s="36" t="n">
        <x:v>45910</x:v>
      </x:c>
      <x:c r="H277" t="n">
        <x:v>0</x:v>
      </x:c>
      <x:c r="I277" t="str">
        <x:v>Pago em dia</x:v>
      </x:c>
    </x:row>
    <x:row r="278">
      <x:c r="A278" t="str">
        <x:v>PAG-000277</x:v>
      </x:c>
      <x:c r="B278" t="str">
        <x:v>IMV-0026</x:v>
      </x:c>
      <x:c r="C278" s="38" t="n">
        <x:v>46235</x:v>
      </x:c>
      <x:c r="D278" s="32" t="n">
        <x:v>1950</x:v>
      </x:c>
      <x:c r="E278" s="32" t="n">
        <x:v>1950</x:v>
      </x:c>
      <x:c r="F278" s="36" t="n">
        <x:v>46244</x:v>
      </x:c>
      <x:c r="G278" s="36" t="n">
        <x:v>46247</x:v>
      </x:c>
      <x:c r="H278" t="n">
        <x:v>3</x:v>
      </x:c>
      <x:c r="I278" t="str">
        <x:v>Pago em atraso</x:v>
      </x:c>
    </x:row>
    <x:row r="279">
      <x:c r="A279" t="str">
        <x:v>PAG-000278</x:v>
      </x:c>
      <x:c r="B279" t="str">
        <x:v>IMV-0026</x:v>
      </x:c>
      <x:c r="C279" s="38" t="n">
        <x:v>46204</x:v>
      </x:c>
      <x:c r="D279" s="32" t="n">
        <x:v>1950</x:v>
      </x:c>
      <x:c r="E279" s="32" t="n">
        <x:v>1950</x:v>
      </x:c>
      <x:c r="F279" s="36" t="n">
        <x:v>46213</x:v>
      </x:c>
      <x:c r="G279" s="36" t="n">
        <x:v>46220</x:v>
      </x:c>
      <x:c r="H279" t="n">
        <x:v>7</x:v>
      </x:c>
      <x:c r="I279" t="str">
        <x:v>Pago em atraso</x:v>
      </x:c>
    </x:row>
    <x:row r="280">
      <x:c r="A280" t="str">
        <x:v>PAG-000279</x:v>
      </x:c>
      <x:c r="B280" t="str">
        <x:v>IMV-0026</x:v>
      </x:c>
      <x:c r="C280" s="38" t="n">
        <x:v>46174</x:v>
      </x:c>
      <x:c r="D280" s="32" t="n">
        <x:v>1950</x:v>
      </x:c>
      <x:c r="E280" s="32" t="n">
        <x:v>1950</x:v>
      </x:c>
      <x:c r="F280" s="36" t="n">
        <x:v>46183</x:v>
      </x:c>
      <x:c r="G280" s="36" t="n">
        <x:v>46190</x:v>
      </x:c>
      <x:c r="H280" t="n">
        <x:v>7</x:v>
      </x:c>
      <x:c r="I280" t="str">
        <x:v>Pago em atraso</x:v>
      </x:c>
    </x:row>
    <x:row r="281">
      <x:c r="A281" t="str">
        <x:v>PAG-000280</x:v>
      </x:c>
      <x:c r="B281" t="str">
        <x:v>IMV-0026</x:v>
      </x:c>
      <x:c r="C281" s="38" t="n">
        <x:v>46143</x:v>
      </x:c>
      <x:c r="D281" s="32" t="n">
        <x:v>1950</x:v>
      </x:c>
      <x:c r="E281" s="32" t="n">
        <x:v>1950</x:v>
      </x:c>
      <x:c r="F281" s="36" t="n">
        <x:v>46152</x:v>
      </x:c>
      <x:c r="G281" s="36" t="n">
        <x:v>46164</x:v>
      </x:c>
      <x:c r="H281" t="n">
        <x:v>12</x:v>
      </x:c>
      <x:c r="I281" t="str">
        <x:v>Pago em atraso</x:v>
      </x:c>
    </x:row>
    <x:row r="282">
      <x:c r="A282" t="str">
        <x:v>PAG-000281</x:v>
      </x:c>
      <x:c r="B282" t="str">
        <x:v>IMV-0026</x:v>
      </x:c>
      <x:c r="C282" s="38" t="n">
        <x:v>46113</x:v>
      </x:c>
      <x:c r="D282" s="32" t="n">
        <x:v>1950</x:v>
      </x:c>
      <x:c r="E282" s="32" t="n">
        <x:v>1950</x:v>
      </x:c>
      <x:c r="F282" s="36" t="n">
        <x:v>46122</x:v>
      </x:c>
      <x:c r="G282" s="36" t="n">
        <x:v>46129</x:v>
      </x:c>
      <x:c r="H282" t="n">
        <x:v>7</x:v>
      </x:c>
      <x:c r="I282" t="str">
        <x:v>Pago em atraso</x:v>
      </x:c>
    </x:row>
    <x:row r="283">
      <x:c r="A283" t="str">
        <x:v>PAG-000282</x:v>
      </x:c>
      <x:c r="B283" t="str">
        <x:v>IMV-0026</x:v>
      </x:c>
      <x:c r="C283" s="38" t="n">
        <x:v>46082</x:v>
      </x:c>
      <x:c r="D283" s="32" t="n">
        <x:v>1950</x:v>
      </x:c>
      <x:c r="E283" s="32" t="n">
        <x:v>1950</x:v>
      </x:c>
      <x:c r="F283" s="36" t="n">
        <x:v>46091</x:v>
      </x:c>
      <x:c r="G283" s="36" t="n">
        <x:v>46098</x:v>
      </x:c>
      <x:c r="H283" t="n">
        <x:v>7</x:v>
      </x:c>
      <x:c r="I283" t="str">
        <x:v>Pago em atraso</x:v>
      </x:c>
    </x:row>
    <x:row r="284">
      <x:c r="A284" t="str">
        <x:v>PAG-000283</x:v>
      </x:c>
      <x:c r="B284" t="str">
        <x:v>IMV-0026</x:v>
      </x:c>
      <x:c r="C284" s="38" t="n">
        <x:v>46054</x:v>
      </x:c>
      <x:c r="D284" s="32" t="n">
        <x:v>1950</x:v>
      </x:c>
      <x:c r="E284" s="32" t="n">
        <x:v>1950</x:v>
      </x:c>
      <x:c r="F284" s="36" t="n">
        <x:v>46063</x:v>
      </x:c>
      <x:c r="G284" s="36" t="n">
        <x:v>46063</x:v>
      </x:c>
      <x:c r="H284" t="n">
        <x:v>0</x:v>
      </x:c>
      <x:c r="I284" t="str">
        <x:v>Pago em dia</x:v>
      </x:c>
    </x:row>
    <x:row r="285">
      <x:c r="A285" t="str">
        <x:v>PAG-000284</x:v>
      </x:c>
      <x:c r="B285" t="str">
        <x:v>IMV-0026</x:v>
      </x:c>
      <x:c r="C285" s="38" t="n">
        <x:v>46023</x:v>
      </x:c>
      <x:c r="D285" s="32" t="n">
        <x:v>1950</x:v>
      </x:c>
      <x:c r="E285" s="32" t="n">
        <x:v>1950</x:v>
      </x:c>
      <x:c r="F285" s="36" t="n">
        <x:v>46032</x:v>
      </x:c>
      <x:c r="G285" s="36" t="n">
        <x:v>46039</x:v>
      </x:c>
      <x:c r="H285" t="n">
        <x:v>7</x:v>
      </x:c>
      <x:c r="I285" t="str">
        <x:v>Pago em atraso</x:v>
      </x:c>
    </x:row>
    <x:row r="286">
      <x:c r="A286" t="str">
        <x:v>PAG-000285</x:v>
      </x:c>
      <x:c r="B286" t="str">
        <x:v>IMV-0026</x:v>
      </x:c>
      <x:c r="C286" s="38" t="n">
        <x:v>45992</x:v>
      </x:c>
      <x:c r="D286" s="32" t="n">
        <x:v>1950</x:v>
      </x:c>
      <x:c r="E286" s="32" t="n">
        <x:v>1950</x:v>
      </x:c>
      <x:c r="F286" s="36" t="n">
        <x:v>46001</x:v>
      </x:c>
      <x:c r="G286" s="36" t="n">
        <x:v>46004</x:v>
      </x:c>
      <x:c r="H286" t="n">
        <x:v>3</x:v>
      </x:c>
      <x:c r="I286" t="str">
        <x:v>Pago em atraso</x:v>
      </x:c>
    </x:row>
    <x:row r="287">
      <x:c r="A287" t="str">
        <x:v>PAG-000286</x:v>
      </x:c>
      <x:c r="B287" t="str">
        <x:v>IMV-0026</x:v>
      </x:c>
      <x:c r="C287" s="38" t="n">
        <x:v>45962</x:v>
      </x:c>
      <x:c r="D287" s="32" t="n">
        <x:v>1950</x:v>
      </x:c>
      <x:c r="E287" s="32" t="n">
        <x:v>1950</x:v>
      </x:c>
      <x:c r="F287" s="36" t="n">
        <x:v>45971</x:v>
      </x:c>
      <x:c r="G287" s="36" t="n">
        <x:v>45971</x:v>
      </x:c>
      <x:c r="H287" t="n">
        <x:v>0</x:v>
      </x:c>
      <x:c r="I287" t="str">
        <x:v>Pago em dia</x:v>
      </x:c>
    </x:row>
    <x:row r="288">
      <x:c r="A288" t="str">
        <x:v>PAG-000287</x:v>
      </x:c>
      <x:c r="B288" t="str">
        <x:v>IMV-0026</x:v>
      </x:c>
      <x:c r="C288" s="38" t="n">
        <x:v>45931</x:v>
      </x:c>
      <x:c r="D288" s="32" t="n">
        <x:v>1950</x:v>
      </x:c>
      <x:c r="E288" s="32" t="n">
        <x:v>1950</x:v>
      </x:c>
      <x:c r="F288" s="36" t="n">
        <x:v>45940</x:v>
      </x:c>
      <x:c r="G288" s="36" t="n">
        <x:v>45960</x:v>
      </x:c>
      <x:c r="H288" t="n">
        <x:v>20</x:v>
      </x:c>
      <x:c r="I288" t="str">
        <x:v>Pago em atraso</x:v>
      </x:c>
    </x:row>
    <x:row r="289">
      <x:c r="A289" t="str">
        <x:v>PAG-000288</x:v>
      </x:c>
      <x:c r="B289" t="str">
        <x:v>IMV-0026</x:v>
      </x:c>
      <x:c r="C289" s="38" t="n">
        <x:v>45901</x:v>
      </x:c>
      <x:c r="D289" s="32" t="n">
        <x:v>1950</x:v>
      </x:c>
      <x:c r="E289" s="32" t="n">
        <x:v>1950</x:v>
      </x:c>
      <x:c r="F289" s="36" t="n">
        <x:v>45910</x:v>
      </x:c>
      <x:c r="G289" s="36" t="n">
        <x:v>45917</x:v>
      </x:c>
      <x:c r="H289" t="n">
        <x:v>7</x:v>
      </x:c>
      <x:c r="I289" t="str">
        <x:v>Pago em atraso</x:v>
      </x:c>
    </x:row>
    <x:row r="290">
      <x:c r="A290" t="str">
        <x:v>PAG-000289</x:v>
      </x:c>
      <x:c r="B290" t="str">
        <x:v>IMV-0027</x:v>
      </x:c>
      <x:c r="C290" s="38" t="n">
        <x:v>46235</x:v>
      </x:c>
      <x:c r="D290" s="32" t="n">
        <x:v>3050</x:v>
      </x:c>
      <x:c r="E290" s="32" t="n">
        <x:v>3050</x:v>
      </x:c>
      <x:c r="F290" s="36" t="n">
        <x:v>46244</x:v>
      </x:c>
      <x:c r="G290" s="36" t="n">
        <x:v>46279</x:v>
      </x:c>
      <x:c r="H290" t="n">
        <x:v>35</x:v>
      </x:c>
      <x:c r="I290" t="str">
        <x:v>Pago em atraso</x:v>
      </x:c>
    </x:row>
    <x:row r="291">
      <x:c r="A291" t="str">
        <x:v>PAG-000290</x:v>
      </x:c>
      <x:c r="B291" t="str">
        <x:v>IMV-0027</x:v>
      </x:c>
      <x:c r="C291" s="38" t="n">
        <x:v>46204</x:v>
      </x:c>
      <x:c r="D291" s="32" t="n">
        <x:v>3050</x:v>
      </x:c>
      <x:c r="E291" s="32" t="n">
        <x:v>3050</x:v>
      </x:c>
      <x:c r="F291" s="36" t="n">
        <x:v>46213</x:v>
      </x:c>
      <x:c r="G291" s="36" t="n">
        <x:v>46233</x:v>
      </x:c>
      <x:c r="H291" t="n">
        <x:v>20</x:v>
      </x:c>
      <x:c r="I291" t="str">
        <x:v>Pago em atraso</x:v>
      </x:c>
    </x:row>
    <x:row r="292">
      <x:c r="A292" t="str">
        <x:v>PAG-000291</x:v>
      </x:c>
      <x:c r="B292" t="str">
        <x:v>IMV-0027</x:v>
      </x:c>
      <x:c r="C292" s="38" t="n">
        <x:v>46174</x:v>
      </x:c>
      <x:c r="D292" s="32" t="n">
        <x:v>3050</x:v>
      </x:c>
      <x:c r="E292" s="32" t="n">
        <x:v>3050</x:v>
      </x:c>
      <x:c r="F292" s="36" t="n">
        <x:v>46183</x:v>
      </x:c>
      <x:c r="G292" s="36" t="n">
        <x:v>46218</x:v>
      </x:c>
      <x:c r="H292" t="n">
        <x:v>35</x:v>
      </x:c>
      <x:c r="I292" t="str">
        <x:v>Pago em atraso</x:v>
      </x:c>
    </x:row>
    <x:row r="293">
      <x:c r="A293" t="str">
        <x:v>PAG-000292</x:v>
      </x:c>
      <x:c r="B293" t="str">
        <x:v>IMV-0027</x:v>
      </x:c>
      <x:c r="C293" s="38" t="n">
        <x:v>46143</x:v>
      </x:c>
      <x:c r="D293" s="32" t="n">
        <x:v>3050</x:v>
      </x:c>
      <x:c r="E293" s="32" t="n">
        <x:v>3050</x:v>
      </x:c>
      <x:c r="F293" s="36" t="n">
        <x:v>46152</x:v>
      </x:c>
      <x:c r="G293" s="36" t="n">
        <x:v>46172</x:v>
      </x:c>
      <x:c r="H293" t="n">
        <x:v>20</x:v>
      </x:c>
      <x:c r="I293" t="str">
        <x:v>Pago em atraso</x:v>
      </x:c>
    </x:row>
    <x:row r="294">
      <x:c r="A294" t="str">
        <x:v>PAG-000293</x:v>
      </x:c>
      <x:c r="B294" t="str">
        <x:v>IMV-0027</x:v>
      </x:c>
      <x:c r="C294" s="38" t="n">
        <x:v>46113</x:v>
      </x:c>
      <x:c r="D294" s="32" t="n">
        <x:v>3050</x:v>
      </x:c>
      <x:c r="E294" s="32" t="n">
        <x:v>3050</x:v>
      </x:c>
      <x:c r="F294" s="36" t="n">
        <x:v>46122</x:v>
      </x:c>
      <x:c r="G294" s="36" t="n">
        <x:v>46142</x:v>
      </x:c>
      <x:c r="H294" t="n">
        <x:v>20</x:v>
      </x:c>
      <x:c r="I294" t="str">
        <x:v>Pago em atraso</x:v>
      </x:c>
    </x:row>
    <x:row r="295">
      <x:c r="A295" t="str">
        <x:v>PAG-000294</x:v>
      </x:c>
      <x:c r="B295" t="str">
        <x:v>IMV-0027</x:v>
      </x:c>
      <x:c r="C295" s="38" t="n">
        <x:v>46082</x:v>
      </x:c>
      <x:c r="D295" s="32" t="n">
        <x:v>3050</x:v>
      </x:c>
      <x:c r="E295" s="32" t="n">
        <x:v>3050</x:v>
      </x:c>
      <x:c r="F295" s="36" t="n">
        <x:v>46091</x:v>
      </x:c>
      <x:c r="G295" s="36" t="n">
        <x:v>46151</x:v>
      </x:c>
      <x:c r="H295" t="n">
        <x:v>60</x:v>
      </x:c>
      <x:c r="I295" t="str">
        <x:v>Pago em atraso</x:v>
      </x:c>
    </x:row>
    <x:row r="296">
      <x:c r="A296" t="str">
        <x:v>PAG-000295</x:v>
      </x:c>
      <x:c r="B296" t="str">
        <x:v>IMV-0027</x:v>
      </x:c>
      <x:c r="C296" s="38" t="n">
        <x:v>46054</x:v>
      </x:c>
      <x:c r="D296" s="32" t="n">
        <x:v>3050</x:v>
      </x:c>
      <x:c r="E296" s="32" t="n">
        <x:v>3050</x:v>
      </x:c>
      <x:c r="F296" s="36" t="n">
        <x:v>46063</x:v>
      </x:c>
      <x:c r="G296" s="36" t="n">
        <x:v>46098</x:v>
      </x:c>
      <x:c r="H296" t="n">
        <x:v>35</x:v>
      </x:c>
      <x:c r="I296" t="str">
        <x:v>Pago em atraso</x:v>
      </x:c>
    </x:row>
    <x:row r="297">
      <x:c r="A297" t="str">
        <x:v>PAG-000296</x:v>
      </x:c>
      <x:c r="B297" t="str">
        <x:v>IMV-0027</x:v>
      </x:c>
      <x:c r="C297" s="38" t="n">
        <x:v>46023</x:v>
      </x:c>
      <x:c r="D297" s="32" t="n">
        <x:v>3050</x:v>
      </x:c>
      <x:c r="E297" s="32" t="n">
        <x:v>3050</x:v>
      </x:c>
      <x:c r="F297" s="36" t="n">
        <x:v>46032</x:v>
      </x:c>
      <x:c r="G297" s="36" t="n">
        <x:v>46044</x:v>
      </x:c>
      <x:c r="H297" t="n">
        <x:v>12</x:v>
      </x:c>
      <x:c r="I297" t="str">
        <x:v>Pago em atraso</x:v>
      </x:c>
    </x:row>
    <x:row r="298">
      <x:c r="A298" t="str">
        <x:v>PAG-000297</x:v>
      </x:c>
      <x:c r="B298" t="str">
        <x:v>IMV-0027</x:v>
      </x:c>
      <x:c r="C298" s="38" t="n">
        <x:v>45992</x:v>
      </x:c>
      <x:c r="D298" s="32" t="n">
        <x:v>3050</x:v>
      </x:c>
      <x:c r="E298" s="32" t="n">
        <x:v>3050</x:v>
      </x:c>
      <x:c r="F298" s="36" t="n">
        <x:v>46001</x:v>
      </x:c>
      <x:c r="G298" s="36" t="n">
        <x:v>46021</x:v>
      </x:c>
      <x:c r="H298" t="n">
        <x:v>20</x:v>
      </x:c>
      <x:c r="I298" t="str">
        <x:v>Pago em atraso</x:v>
      </x:c>
    </x:row>
    <x:row r="299">
      <x:c r="A299" t="str">
        <x:v>PAG-000298</x:v>
      </x:c>
      <x:c r="B299" t="str">
        <x:v>IMV-0027</x:v>
      </x:c>
      <x:c r="C299" s="38" t="n">
        <x:v>45962</x:v>
      </x:c>
      <x:c r="D299" s="32" t="n">
        <x:v>3050</x:v>
      </x:c>
      <x:c r="E299" s="32" t="n">
        <x:v>3050</x:v>
      </x:c>
      <x:c r="F299" s="36" t="n">
        <x:v>45971</x:v>
      </x:c>
      <x:c r="G299" s="36" t="n">
        <x:v>45983</x:v>
      </x:c>
      <x:c r="H299" t="n">
        <x:v>12</x:v>
      </x:c>
      <x:c r="I299" t="str">
        <x:v>Pago em atraso</x:v>
      </x:c>
    </x:row>
    <x:row r="300">
      <x:c r="A300" t="str">
        <x:v>PAG-000299</x:v>
      </x:c>
      <x:c r="B300" t="str">
        <x:v>IMV-0027</x:v>
      </x:c>
      <x:c r="C300" s="38" t="n">
        <x:v>45931</x:v>
      </x:c>
      <x:c r="D300" s="32" t="n">
        <x:v>3050</x:v>
      </x:c>
      <x:c r="E300" s="32" t="n">
        <x:v>3050</x:v>
      </x:c>
      <x:c r="F300" s="36" t="n">
        <x:v>45940</x:v>
      </x:c>
      <x:c r="G300" s="36" t="n">
        <x:v>45960</x:v>
      </x:c>
      <x:c r="H300" t="n">
        <x:v>20</x:v>
      </x:c>
      <x:c r="I300" t="str">
        <x:v>Pago em atraso</x:v>
      </x:c>
    </x:row>
    <x:row r="301">
      <x:c r="A301" t="str">
        <x:v>PAG-000300</x:v>
      </x:c>
      <x:c r="B301" t="str">
        <x:v>IMV-0027</x:v>
      </x:c>
      <x:c r="C301" s="38" t="n">
        <x:v>45901</x:v>
      </x:c>
      <x:c r="D301" s="32" t="n">
        <x:v>3050</x:v>
      </x:c>
      <x:c r="E301" s="32" t="n">
        <x:v>3050</x:v>
      </x:c>
      <x:c r="F301" s="36" t="n">
        <x:v>45910</x:v>
      </x:c>
      <x:c r="G301" s="36" t="n">
        <x:v>45930</x:v>
      </x:c>
      <x:c r="H301" t="n">
        <x:v>20</x:v>
      </x:c>
      <x:c r="I301" t="str">
        <x:v>Pago em atraso</x:v>
      </x:c>
    </x:row>
    <x:row r="302">
      <x:c r="A302" t="str">
        <x:v>PAG-000301</x:v>
      </x:c>
      <x:c r="B302" t="str">
        <x:v>IMV-0029</x:v>
      </x:c>
      <x:c r="C302" s="38" t="n">
        <x:v>46235</x:v>
      </x:c>
      <x:c r="D302" s="32" t="n">
        <x:v>5600</x:v>
      </x:c>
      <x:c r="E302" s="32" t="n">
        <x:v>5600</x:v>
      </x:c>
      <x:c r="F302" s="36" t="n">
        <x:v>46244</x:v>
      </x:c>
      <x:c r="G302" s="36" t="n">
        <x:v>46245</x:v>
      </x:c>
      <x:c r="H302" t="n">
        <x:v>1</x:v>
      </x:c>
      <x:c r="I302" t="str">
        <x:v>Pago em atraso</x:v>
      </x:c>
    </x:row>
    <x:row r="303">
      <x:c r="A303" t="str">
        <x:v>PAG-000302</x:v>
      </x:c>
      <x:c r="B303" t="str">
        <x:v>IMV-0029</x:v>
      </x:c>
      <x:c r="C303" s="38" t="n">
        <x:v>46204</x:v>
      </x:c>
      <x:c r="D303" s="32" t="n">
        <x:v>5600</x:v>
      </x:c>
      <x:c r="E303" s="32" t="n">
        <x:v>5600</x:v>
      </x:c>
      <x:c r="F303" s="36" t="n">
        <x:v>46213</x:v>
      </x:c>
      <x:c r="G303" s="36" t="n">
        <x:v>46213</x:v>
      </x:c>
      <x:c r="H303" t="n">
        <x:v>0</x:v>
      </x:c>
      <x:c r="I303" t="str">
        <x:v>Pago em dia</x:v>
      </x:c>
    </x:row>
    <x:row r="304">
      <x:c r="A304" t="str">
        <x:v>PAG-000303</x:v>
      </x:c>
      <x:c r="B304" t="str">
        <x:v>IMV-0029</x:v>
      </x:c>
      <x:c r="C304" s="38" t="n">
        <x:v>46174</x:v>
      </x:c>
      <x:c r="D304" s="32" t="n">
        <x:v>5600</x:v>
      </x:c>
      <x:c r="E304" s="32" t="n">
        <x:v>5600</x:v>
      </x:c>
      <x:c r="F304" s="36" t="n">
        <x:v>46183</x:v>
      </x:c>
      <x:c r="G304" s="36" t="n">
        <x:v>46183</x:v>
      </x:c>
      <x:c r="H304" t="n">
        <x:v>0</x:v>
      </x:c>
      <x:c r="I304" t="str">
        <x:v>Pago em dia</x:v>
      </x:c>
    </x:row>
    <x:row r="305">
      <x:c r="A305" t="str">
        <x:v>PAG-000304</x:v>
      </x:c>
      <x:c r="B305" t="str">
        <x:v>IMV-0029</x:v>
      </x:c>
      <x:c r="C305" s="38" t="n">
        <x:v>46143</x:v>
      </x:c>
      <x:c r="D305" s="32" t="n">
        <x:v>5600</x:v>
      </x:c>
      <x:c r="E305" s="32" t="n">
        <x:v>5600</x:v>
      </x:c>
      <x:c r="F305" s="36" t="n">
        <x:v>46152</x:v>
      </x:c>
      <x:c r="G305" s="36" t="n">
        <x:v>46152</x:v>
      </x:c>
      <x:c r="H305" t="n">
        <x:v>0</x:v>
      </x:c>
      <x:c r="I305" t="str">
        <x:v>Pago em dia</x:v>
      </x:c>
    </x:row>
    <x:row r="306">
      <x:c r="A306" t="str">
        <x:v>PAG-000305</x:v>
      </x:c>
      <x:c r="B306" t="str">
        <x:v>IMV-0029</x:v>
      </x:c>
      <x:c r="C306" s="38" t="n">
        <x:v>46113</x:v>
      </x:c>
      <x:c r="D306" s="32" t="n">
        <x:v>5600</x:v>
      </x:c>
      <x:c r="E306" s="32" t="n">
        <x:v>5600</x:v>
      </x:c>
      <x:c r="F306" s="36" t="n">
        <x:v>46122</x:v>
      </x:c>
      <x:c r="G306" s="36" t="n">
        <x:v>46125</x:v>
      </x:c>
      <x:c r="H306" t="n">
        <x:v>3</x:v>
      </x:c>
      <x:c r="I306" t="str">
        <x:v>Pago em atraso</x:v>
      </x:c>
    </x:row>
    <x:row r="307">
      <x:c r="A307" t="str">
        <x:v>PAG-000306</x:v>
      </x:c>
      <x:c r="B307" t="str">
        <x:v>IMV-0029</x:v>
      </x:c>
      <x:c r="C307" s="38" t="n">
        <x:v>46082</x:v>
      </x:c>
      <x:c r="D307" s="32" t="n">
        <x:v>5600</x:v>
      </x:c>
      <x:c r="E307" s="32" t="n">
        <x:v>5600</x:v>
      </x:c>
      <x:c r="F307" s="36" t="n">
        <x:v>46091</x:v>
      </x:c>
      <x:c r="G307" s="36" t="n">
        <x:v>46091</x:v>
      </x:c>
      <x:c r="H307" t="n">
        <x:v>0</x:v>
      </x:c>
      <x:c r="I307" t="str">
        <x:v>Pago em dia</x:v>
      </x:c>
    </x:row>
    <x:row r="308">
      <x:c r="A308" t="str">
        <x:v>PAG-000307</x:v>
      </x:c>
      <x:c r="B308" t="str">
        <x:v>IMV-0029</x:v>
      </x:c>
      <x:c r="C308" s="38" t="n">
        <x:v>46054</x:v>
      </x:c>
      <x:c r="D308" s="32" t="n">
        <x:v>5600</x:v>
      </x:c>
      <x:c r="E308" s="32" t="n">
        <x:v>5600</x:v>
      </x:c>
      <x:c r="F308" s="36" t="n">
        <x:v>46063</x:v>
      </x:c>
      <x:c r="G308" s="36" t="n">
        <x:v>46063</x:v>
      </x:c>
      <x:c r="H308" t="n">
        <x:v>0</x:v>
      </x:c>
      <x:c r="I308" t="str">
        <x:v>Pago em dia</x:v>
      </x:c>
    </x:row>
    <x:row r="309">
      <x:c r="A309" t="str">
        <x:v>PAG-000308</x:v>
      </x:c>
      <x:c r="B309" t="str">
        <x:v>IMV-0029</x:v>
      </x:c>
      <x:c r="C309" s="38" t="n">
        <x:v>46023</x:v>
      </x:c>
      <x:c r="D309" s="32" t="n">
        <x:v>5600</x:v>
      </x:c>
      <x:c r="E309" s="32" t="n">
        <x:v>5600</x:v>
      </x:c>
      <x:c r="F309" s="36" t="n">
        <x:v>46032</x:v>
      </x:c>
      <x:c r="G309" s="36" t="n">
        <x:v>46033</x:v>
      </x:c>
      <x:c r="H309" t="n">
        <x:v>1</x:v>
      </x:c>
      <x:c r="I309" t="str">
        <x:v>Pago em atraso</x:v>
      </x:c>
    </x:row>
    <x:row r="310">
      <x:c r="A310" t="str">
        <x:v>PAG-000309</x:v>
      </x:c>
      <x:c r="B310" t="str">
        <x:v>IMV-0029</x:v>
      </x:c>
      <x:c r="C310" s="38" t="n">
        <x:v>45992</x:v>
      </x:c>
      <x:c r="D310" s="32" t="n">
        <x:v>5600</x:v>
      </x:c>
      <x:c r="E310" s="32" t="n">
        <x:v>5600</x:v>
      </x:c>
      <x:c r="F310" s="36" t="n">
        <x:v>46001</x:v>
      </x:c>
      <x:c r="G310" s="36" t="n">
        <x:v>46001</x:v>
      </x:c>
      <x:c r="H310" t="n">
        <x:v>0</x:v>
      </x:c>
      <x:c r="I310" t="str">
        <x:v>Pago em dia</x:v>
      </x:c>
    </x:row>
    <x:row r="311">
      <x:c r="A311" t="str">
        <x:v>PAG-000310</x:v>
      </x:c>
      <x:c r="B311" t="str">
        <x:v>IMV-0029</x:v>
      </x:c>
      <x:c r="C311" s="38" t="n">
        <x:v>45962</x:v>
      </x:c>
      <x:c r="D311" s="32" t="n">
        <x:v>5600</x:v>
      </x:c>
      <x:c r="E311" s="32" t="n">
        <x:v>5600</x:v>
      </x:c>
      <x:c r="F311" s="36" t="n">
        <x:v>45971</x:v>
      </x:c>
      <x:c r="G311" s="36" t="n">
        <x:v>45972</x:v>
      </x:c>
      <x:c r="H311" t="n">
        <x:v>1</x:v>
      </x:c>
      <x:c r="I311" t="str">
        <x:v>Pago em atraso</x:v>
      </x:c>
    </x:row>
    <x:row r="312">
      <x:c r="A312" t="str">
        <x:v>PAG-000311</x:v>
      </x:c>
      <x:c r="B312" t="str">
        <x:v>IMV-0029</x:v>
      </x:c>
      <x:c r="C312" s="38" t="n">
        <x:v>45931</x:v>
      </x:c>
      <x:c r="D312" s="32" t="n">
        <x:v>5600</x:v>
      </x:c>
      <x:c r="E312" s="32" t="n">
        <x:v>5600</x:v>
      </x:c>
      <x:c r="F312" s="36" t="n">
        <x:v>45940</x:v>
      </x:c>
      <x:c r="G312" s="36" t="n">
        <x:v>45940</x:v>
      </x:c>
      <x:c r="H312" t="n">
        <x:v>0</x:v>
      </x:c>
      <x:c r="I312" t="str">
        <x:v>Pago em dia</x:v>
      </x:c>
    </x:row>
    <x:row r="313">
      <x:c r="A313" t="str">
        <x:v>PAG-000312</x:v>
      </x:c>
      <x:c r="B313" t="str">
        <x:v>IMV-0029</x:v>
      </x:c>
      <x:c r="C313" s="38" t="n">
        <x:v>45901</x:v>
      </x:c>
      <x:c r="D313" s="32" t="n">
        <x:v>5600</x:v>
      </x:c>
      <x:c r="E313" s="32" t="n">
        <x:v>5600</x:v>
      </x:c>
      <x:c r="F313" s="36" t="n">
        <x:v>45910</x:v>
      </x:c>
      <x:c r="G313" s="36" t="n">
        <x:v>45910</x:v>
      </x:c>
      <x:c r="H313" t="n">
        <x:v>0</x:v>
      </x:c>
      <x:c r="I313" t="str">
        <x:v>Pago em dia</x:v>
      </x:c>
    </x:row>
    <x:row r="314">
      <x:c r="A314" t="str">
        <x:v>PAG-000313</x:v>
      </x:c>
      <x:c r="B314" t="str">
        <x:v>IMV-0030</x:v>
      </x:c>
      <x:c r="C314" s="38" t="n">
        <x:v>46235</x:v>
      </x:c>
      <x:c r="D314" s="32" t="n">
        <x:v>3800</x:v>
      </x:c>
      <x:c r="E314" s="32" t="n">
        <x:v>3800</x:v>
      </x:c>
      <x:c r="F314" s="36" t="n">
        <x:v>46244</x:v>
      </x:c>
      <x:c r="G314" s="36" t="n">
        <x:v>46251</x:v>
      </x:c>
      <x:c r="H314" t="n">
        <x:v>7</x:v>
      </x:c>
      <x:c r="I314" t="str">
        <x:v>Pago em atraso</x:v>
      </x:c>
    </x:row>
    <x:row r="315">
      <x:c r="A315" t="str">
        <x:v>PAG-000314</x:v>
      </x:c>
      <x:c r="B315" t="str">
        <x:v>IMV-0030</x:v>
      </x:c>
      <x:c r="C315" s="38" t="n">
        <x:v>46204</x:v>
      </x:c>
      <x:c r="D315" s="32" t="n">
        <x:v>3800</x:v>
      </x:c>
      <x:c r="E315" s="32" t="n">
        <x:v>3800</x:v>
      </x:c>
      <x:c r="F315" s="36" t="n">
        <x:v>46213</x:v>
      </x:c>
      <x:c r="G315" s="36" t="n">
        <x:v>46216</x:v>
      </x:c>
      <x:c r="H315" t="n">
        <x:v>3</x:v>
      </x:c>
      <x:c r="I315" t="str">
        <x:v>Pago em atraso</x:v>
      </x:c>
    </x:row>
    <x:row r="316">
      <x:c r="A316" t="str">
        <x:v>PAG-000315</x:v>
      </x:c>
      <x:c r="B316" t="str">
        <x:v>IMV-0030</x:v>
      </x:c>
      <x:c r="C316" s="38" t="n">
        <x:v>46174</x:v>
      </x:c>
      <x:c r="D316" s="32" t="n">
        <x:v>3800</x:v>
      </x:c>
      <x:c r="E316" s="32" t="n">
        <x:v>3800</x:v>
      </x:c>
      <x:c r="F316" s="36" t="n">
        <x:v>46183</x:v>
      </x:c>
      <x:c r="G316" s="36" t="n">
        <x:v>46190</x:v>
      </x:c>
      <x:c r="H316" t="n">
        <x:v>7</x:v>
      </x:c>
      <x:c r="I316" t="str">
        <x:v>Pago em atraso</x:v>
      </x:c>
    </x:row>
    <x:row r="317">
      <x:c r="A317" t="str">
        <x:v>PAG-000316</x:v>
      </x:c>
      <x:c r="B317" t="str">
        <x:v>IMV-0030</x:v>
      </x:c>
      <x:c r="C317" s="38" t="n">
        <x:v>46143</x:v>
      </x:c>
      <x:c r="D317" s="32" t="n">
        <x:v>3800</x:v>
      </x:c>
      <x:c r="E317" s="32" t="n">
        <x:v>3800</x:v>
      </x:c>
      <x:c r="F317" s="36" t="n">
        <x:v>46152</x:v>
      </x:c>
      <x:c r="G317" s="36" t="n">
        <x:v>46172</x:v>
      </x:c>
      <x:c r="H317" t="n">
        <x:v>20</x:v>
      </x:c>
      <x:c r="I317" t="str">
        <x:v>Pago em atraso</x:v>
      </x:c>
    </x:row>
    <x:row r="318">
      <x:c r="A318" t="str">
        <x:v>PAG-000317</x:v>
      </x:c>
      <x:c r="B318" t="str">
        <x:v>IMV-0030</x:v>
      </x:c>
      <x:c r="C318" s="38" t="n">
        <x:v>46113</x:v>
      </x:c>
      <x:c r="D318" s="32" t="n">
        <x:v>3800</x:v>
      </x:c>
      <x:c r="E318" s="32" t="n">
        <x:v>3800</x:v>
      </x:c>
      <x:c r="F318" s="36" t="n">
        <x:v>46122</x:v>
      </x:c>
      <x:c r="G318" s="36" t="n">
        <x:v>46125</x:v>
      </x:c>
      <x:c r="H318" t="n">
        <x:v>3</x:v>
      </x:c>
      <x:c r="I318" t="str">
        <x:v>Pago em atraso</x:v>
      </x:c>
    </x:row>
    <x:row r="319">
      <x:c r="A319" t="str">
        <x:v>PAG-000318</x:v>
      </x:c>
      <x:c r="B319" t="str">
        <x:v>IMV-0030</x:v>
      </x:c>
      <x:c r="C319" s="38" t="n">
        <x:v>46082</x:v>
      </x:c>
      <x:c r="D319" s="32" t="n">
        <x:v>3800</x:v>
      </x:c>
      <x:c r="E319" s="32" t="n">
        <x:v>3800</x:v>
      </x:c>
      <x:c r="F319" s="36" t="n">
        <x:v>46091</x:v>
      </x:c>
      <x:c r="G319" s="36" t="n">
        <x:v>46098</x:v>
      </x:c>
      <x:c r="H319" t="n">
        <x:v>7</x:v>
      </x:c>
      <x:c r="I319" t="str">
        <x:v>Pago em atraso</x:v>
      </x:c>
    </x:row>
    <x:row r="320">
      <x:c r="A320" t="str">
        <x:v>PAG-000319</x:v>
      </x:c>
      <x:c r="B320" t="str">
        <x:v>IMV-0030</x:v>
      </x:c>
      <x:c r="C320" s="38" t="n">
        <x:v>46054</x:v>
      </x:c>
      <x:c r="D320" s="32" t="n">
        <x:v>3800</x:v>
      </x:c>
      <x:c r="E320" s="32" t="n">
        <x:v>3800</x:v>
      </x:c>
      <x:c r="F320" s="36" t="n">
        <x:v>46063</x:v>
      </x:c>
      <x:c r="G320" s="36" t="n">
        <x:v>46075</x:v>
      </x:c>
      <x:c r="H320" t="n">
        <x:v>12</x:v>
      </x:c>
      <x:c r="I320" t="str">
        <x:v>Pago em atraso</x:v>
      </x:c>
    </x:row>
    <x:row r="321">
      <x:c r="A321" t="str">
        <x:v>PAG-000320</x:v>
      </x:c>
      <x:c r="B321" t="str">
        <x:v>IMV-0030</x:v>
      </x:c>
      <x:c r="C321" s="38" t="n">
        <x:v>46023</x:v>
      </x:c>
      <x:c r="D321" s="32" t="n">
        <x:v>3800</x:v>
      </x:c>
      <x:c r="E321" s="32" t="n">
        <x:v>3800</x:v>
      </x:c>
      <x:c r="F321" s="36" t="n">
        <x:v>46032</x:v>
      </x:c>
      <x:c r="G321" s="36" t="n">
        <x:v>46044</x:v>
      </x:c>
      <x:c r="H321" t="n">
        <x:v>12</x:v>
      </x:c>
      <x:c r="I321" t="str">
        <x:v>Pago em atraso</x:v>
      </x:c>
    </x:row>
    <x:row r="322">
      <x:c r="A322" t="str">
        <x:v>PAG-000321</x:v>
      </x:c>
      <x:c r="B322" t="str">
        <x:v>IMV-0030</x:v>
      </x:c>
      <x:c r="C322" s="38" t="n">
        <x:v>45992</x:v>
      </x:c>
      <x:c r="D322" s="32" t="n">
        <x:v>3800</x:v>
      </x:c>
      <x:c r="E322" s="32" t="n">
        <x:v>3800</x:v>
      </x:c>
      <x:c r="F322" s="36" t="n">
        <x:v>46001</x:v>
      </x:c>
      <x:c r="G322" s="36" t="n">
        <x:v>46001</x:v>
      </x:c>
      <x:c r="H322" t="n">
        <x:v>0</x:v>
      </x:c>
      <x:c r="I322" t="str">
        <x:v>Pago em dia</x:v>
      </x:c>
    </x:row>
    <x:row r="323">
      <x:c r="A323" t="str">
        <x:v>PAG-000322</x:v>
      </x:c>
      <x:c r="B323" t="str">
        <x:v>IMV-0030</x:v>
      </x:c>
      <x:c r="C323" s="38" t="n">
        <x:v>45962</x:v>
      </x:c>
      <x:c r="D323" s="32" t="n">
        <x:v>3800</x:v>
      </x:c>
      <x:c r="E323" s="32" t="n">
        <x:v>3800</x:v>
      </x:c>
      <x:c r="F323" s="36" t="n">
        <x:v>45971</x:v>
      </x:c>
      <x:c r="G323" s="36" t="n">
        <x:v>45974</x:v>
      </x:c>
      <x:c r="H323" t="n">
        <x:v>3</x:v>
      </x:c>
      <x:c r="I323" t="str">
        <x:v>Pago em atraso</x:v>
      </x:c>
    </x:row>
    <x:row r="324">
      <x:c r="A324" t="str">
        <x:v>PAG-000323</x:v>
      </x:c>
      <x:c r="B324" t="str">
        <x:v>IMV-0030</x:v>
      </x:c>
      <x:c r="C324" s="38" t="n">
        <x:v>45931</x:v>
      </x:c>
      <x:c r="D324" s="32" t="n">
        <x:v>3800</x:v>
      </x:c>
      <x:c r="E324" s="32" t="n">
        <x:v>3800</x:v>
      </x:c>
      <x:c r="F324" s="36" t="n">
        <x:v>45940</x:v>
      </x:c>
      <x:c r="G324" s="36" t="n">
        <x:v>45960</x:v>
      </x:c>
      <x:c r="H324" t="n">
        <x:v>20</x:v>
      </x:c>
      <x:c r="I324" t="str">
        <x:v>Pago em atraso</x:v>
      </x:c>
    </x:row>
    <x:row r="325">
      <x:c r="A325" t="str">
        <x:v>PAG-000324</x:v>
      </x:c>
      <x:c r="B325" t="str">
        <x:v>IMV-0030</x:v>
      </x:c>
      <x:c r="C325" s="38" t="n">
        <x:v>45901</x:v>
      </x:c>
      <x:c r="D325" s="32" t="n">
        <x:v>3800</x:v>
      </x:c>
      <x:c r="E325" s="32" t="n">
        <x:v>3800</x:v>
      </x:c>
      <x:c r="F325" s="36" t="n">
        <x:v>45910</x:v>
      </x:c>
      <x:c r="G325" s="36" t="n">
        <x:v>45913</x:v>
      </x:c>
      <x:c r="H325" t="n">
        <x:v>3</x:v>
      </x:c>
      <x:c r="I325" t="str">
        <x:v>Pago em atraso</x:v>
      </x:c>
    </x:row>
    <x:row r="326">
      <x:c r="A326" t="str">
        <x:v>PAG-000325</x:v>
      </x:c>
      <x:c r="B326" t="str">
        <x:v>IMV-0031</x:v>
      </x:c>
      <x:c r="C326" s="38" t="n">
        <x:v>46235</x:v>
      </x:c>
      <x:c r="D326" s="32" t="n">
        <x:v>6250</x:v>
      </x:c>
      <x:c r="E326" s="32" t="n">
        <x:v>6250</x:v>
      </x:c>
      <x:c r="F326" s="36" t="n">
        <x:v>46244</x:v>
      </x:c>
      <x:c r="G326" s="36" t="n">
        <x:v>46251</x:v>
      </x:c>
      <x:c r="H326" t="n">
        <x:v>7</x:v>
      </x:c>
      <x:c r="I326" t="str">
        <x:v>Pago em atraso</x:v>
      </x:c>
    </x:row>
    <x:row r="327">
      <x:c r="A327" t="str">
        <x:v>PAG-000326</x:v>
      </x:c>
      <x:c r="B327" t="str">
        <x:v>IMV-0031</x:v>
      </x:c>
      <x:c r="C327" s="38" t="n">
        <x:v>46204</x:v>
      </x:c>
      <x:c r="D327" s="32" t="n">
        <x:v>6250</x:v>
      </x:c>
      <x:c r="E327" s="32" t="n">
        <x:v>6250</x:v>
      </x:c>
      <x:c r="F327" s="36" t="n">
        <x:v>46213</x:v>
      </x:c>
      <x:c r="G327" s="36" t="n">
        <x:v>46233</x:v>
      </x:c>
      <x:c r="H327" t="n">
        <x:v>20</x:v>
      </x:c>
      <x:c r="I327" t="str">
        <x:v>Pago em atraso</x:v>
      </x:c>
    </x:row>
    <x:row r="328">
      <x:c r="A328" t="str">
        <x:v>PAG-000327</x:v>
      </x:c>
      <x:c r="B328" t="str">
        <x:v>IMV-0031</x:v>
      </x:c>
      <x:c r="C328" s="38" t="n">
        <x:v>46174</x:v>
      </x:c>
      <x:c r="D328" s="32" t="n">
        <x:v>6250</x:v>
      </x:c>
      <x:c r="E328" s="32" t="n">
        <x:v>6250</x:v>
      </x:c>
      <x:c r="F328" s="36" t="n">
        <x:v>46183</x:v>
      </x:c>
      <x:c r="G328" s="36" t="n">
        <x:v>46183</x:v>
      </x:c>
      <x:c r="H328" t="n">
        <x:v>0</x:v>
      </x:c>
      <x:c r="I328" t="str">
        <x:v>Pago em dia</x:v>
      </x:c>
    </x:row>
    <x:row r="329">
      <x:c r="A329" t="str">
        <x:v>PAG-000328</x:v>
      </x:c>
      <x:c r="B329" t="str">
        <x:v>IMV-0031</x:v>
      </x:c>
      <x:c r="C329" s="38" t="n">
        <x:v>46143</x:v>
      </x:c>
      <x:c r="D329" s="32" t="n">
        <x:v>6250</x:v>
      </x:c>
      <x:c r="E329" s="32" t="n">
        <x:v>6250</x:v>
      </x:c>
      <x:c r="F329" s="36" t="n">
        <x:v>46152</x:v>
      </x:c>
      <x:c r="G329" s="36" t="n">
        <x:v>46152</x:v>
      </x:c>
      <x:c r="H329" t="n">
        <x:v>0</x:v>
      </x:c>
      <x:c r="I329" t="str">
        <x:v>Pago em dia</x:v>
      </x:c>
    </x:row>
    <x:row r="330">
      <x:c r="A330" t="str">
        <x:v>PAG-000329</x:v>
      </x:c>
      <x:c r="B330" t="str">
        <x:v>IMV-0031</x:v>
      </x:c>
      <x:c r="C330" s="38" t="n">
        <x:v>46113</x:v>
      </x:c>
      <x:c r="D330" s="32" t="n">
        <x:v>6250</x:v>
      </x:c>
      <x:c r="E330" s="32" t="n">
        <x:v>6250</x:v>
      </x:c>
      <x:c r="F330" s="36" t="n">
        <x:v>46122</x:v>
      </x:c>
      <x:c r="G330" s="36" t="n">
        <x:v>46122</x:v>
      </x:c>
      <x:c r="H330" t="n">
        <x:v>0</x:v>
      </x:c>
      <x:c r="I330" t="str">
        <x:v>Pago em dia</x:v>
      </x:c>
    </x:row>
    <x:row r="331">
      <x:c r="A331" t="str">
        <x:v>PAG-000330</x:v>
      </x:c>
      <x:c r="B331" t="str">
        <x:v>IMV-0031</x:v>
      </x:c>
      <x:c r="C331" s="38" t="n">
        <x:v>46082</x:v>
      </x:c>
      <x:c r="D331" s="32" t="n">
        <x:v>6250</x:v>
      </x:c>
      <x:c r="E331" s="32" t="n">
        <x:v>6250</x:v>
      </x:c>
      <x:c r="F331" s="36" t="n">
        <x:v>46091</x:v>
      </x:c>
      <x:c r="G331" s="36" t="n">
        <x:v>46098</x:v>
      </x:c>
      <x:c r="H331" t="n">
        <x:v>7</x:v>
      </x:c>
      <x:c r="I331" t="str">
        <x:v>Pago em atraso</x:v>
      </x:c>
    </x:row>
    <x:row r="332">
      <x:c r="A332" t="str">
        <x:v>PAG-000331</x:v>
      </x:c>
      <x:c r="B332" t="str">
        <x:v>IMV-0031</x:v>
      </x:c>
      <x:c r="C332" s="38" t="n">
        <x:v>46054</x:v>
      </x:c>
      <x:c r="D332" s="32" t="n">
        <x:v>6250</x:v>
      </x:c>
      <x:c r="E332" s="32" t="n">
        <x:v>6250</x:v>
      </x:c>
      <x:c r="F332" s="36" t="n">
        <x:v>46063</x:v>
      </x:c>
      <x:c r="G332" s="36" t="n">
        <x:v>46063</x:v>
      </x:c>
      <x:c r="H332" t="n">
        <x:v>0</x:v>
      </x:c>
      <x:c r="I332" t="str">
        <x:v>Pago em dia</x:v>
      </x:c>
    </x:row>
    <x:row r="333">
      <x:c r="A333" t="str">
        <x:v>PAG-000332</x:v>
      </x:c>
      <x:c r="B333" t="str">
        <x:v>IMV-0031</x:v>
      </x:c>
      <x:c r="C333" s="38" t="n">
        <x:v>46023</x:v>
      </x:c>
      <x:c r="D333" s="32" t="n">
        <x:v>6250</x:v>
      </x:c>
      <x:c r="E333" s="32" t="n">
        <x:v>6250</x:v>
      </x:c>
      <x:c r="F333" s="36" t="n">
        <x:v>46032</x:v>
      </x:c>
      <x:c r="G333" s="36" t="n">
        <x:v>46035</x:v>
      </x:c>
      <x:c r="H333" t="n">
        <x:v>3</x:v>
      </x:c>
      <x:c r="I333" t="str">
        <x:v>Pago em atraso</x:v>
      </x:c>
    </x:row>
    <x:row r="334">
      <x:c r="A334" t="str">
        <x:v>PAG-000333</x:v>
      </x:c>
      <x:c r="B334" t="str">
        <x:v>IMV-0031</x:v>
      </x:c>
      <x:c r="C334" s="38" t="n">
        <x:v>45992</x:v>
      </x:c>
      <x:c r="D334" s="32" t="n">
        <x:v>6250</x:v>
      </x:c>
      <x:c r="E334" s="32" t="n">
        <x:v>6250</x:v>
      </x:c>
      <x:c r="F334" s="36" t="n">
        <x:v>46001</x:v>
      </x:c>
      <x:c r="G334" s="36" t="n">
        <x:v>46021</x:v>
      </x:c>
      <x:c r="H334" t="n">
        <x:v>20</x:v>
      </x:c>
      <x:c r="I334" t="str">
        <x:v>Pago em atraso</x:v>
      </x:c>
    </x:row>
    <x:row r="335">
      <x:c r="A335" t="str">
        <x:v>PAG-000334</x:v>
      </x:c>
      <x:c r="B335" t="str">
        <x:v>IMV-0031</x:v>
      </x:c>
      <x:c r="C335" s="38" t="n">
        <x:v>45962</x:v>
      </x:c>
      <x:c r="D335" s="32" t="n">
        <x:v>6250</x:v>
      </x:c>
      <x:c r="E335" s="32" t="n">
        <x:v>6250</x:v>
      </x:c>
      <x:c r="F335" s="36" t="n">
        <x:v>45971</x:v>
      </x:c>
      <x:c r="G335" s="36" t="n">
        <x:v>45974</x:v>
      </x:c>
      <x:c r="H335" t="n">
        <x:v>3</x:v>
      </x:c>
      <x:c r="I335" t="str">
        <x:v>Pago em atraso</x:v>
      </x:c>
    </x:row>
    <x:row r="336">
      <x:c r="A336" t="str">
        <x:v>PAG-000335</x:v>
      </x:c>
      <x:c r="B336" t="str">
        <x:v>IMV-0031</x:v>
      </x:c>
      <x:c r="C336" s="38" t="n">
        <x:v>45931</x:v>
      </x:c>
      <x:c r="D336" s="32" t="n">
        <x:v>6250</x:v>
      </x:c>
      <x:c r="E336" s="32" t="n">
        <x:v>6250</x:v>
      </x:c>
      <x:c r="F336" s="36" t="n">
        <x:v>45940</x:v>
      </x:c>
      <x:c r="G336" s="36" t="n">
        <x:v>45960</x:v>
      </x:c>
      <x:c r="H336" t="n">
        <x:v>20</x:v>
      </x:c>
      <x:c r="I336" t="str">
        <x:v>Pago em atraso</x:v>
      </x:c>
    </x:row>
    <x:row r="337">
      <x:c r="A337" t="str">
        <x:v>PAG-000336</x:v>
      </x:c>
      <x:c r="B337" t="str">
        <x:v>IMV-0031</x:v>
      </x:c>
      <x:c r="C337" s="38" t="n">
        <x:v>45901</x:v>
      </x:c>
      <x:c r="D337" s="32" t="n">
        <x:v>6250</x:v>
      </x:c>
      <x:c r="E337" s="32" t="n">
        <x:v>6250</x:v>
      </x:c>
      <x:c r="F337" s="36" t="n">
        <x:v>45910</x:v>
      </x:c>
      <x:c r="G337" s="36" t="n">
        <x:v>45910</x:v>
      </x:c>
      <x:c r="H337" t="n">
        <x:v>0</x:v>
      </x:c>
      <x:c r="I337" t="str">
        <x:v>Pago em dia</x:v>
      </x:c>
    </x:row>
    <x:row r="338">
      <x:c r="A338" t="str">
        <x:v>PAG-000337</x:v>
      </x:c>
      <x:c r="B338" t="str">
        <x:v>IMV-0033</x:v>
      </x:c>
      <x:c r="C338" s="38" t="n">
        <x:v>46235</x:v>
      </x:c>
      <x:c r="D338" s="32" t="n">
        <x:v>2550</x:v>
      </x:c>
      <x:c r="E338" s="32" t="n">
        <x:v>2550</x:v>
      </x:c>
      <x:c r="F338" s="36" t="n">
        <x:v>46244</x:v>
      </x:c>
      <x:c r="G338" s="36" t="n">
        <x:v>46245</x:v>
      </x:c>
      <x:c r="H338" t="n">
        <x:v>1</x:v>
      </x:c>
      <x:c r="I338" t="str">
        <x:v>Pago em atraso</x:v>
      </x:c>
    </x:row>
    <x:row r="339">
      <x:c r="A339" t="str">
        <x:v>PAG-000338</x:v>
      </x:c>
      <x:c r="B339" t="str">
        <x:v>IMV-0033</x:v>
      </x:c>
      <x:c r="C339" s="38" t="n">
        <x:v>46204</x:v>
      </x:c>
      <x:c r="D339" s="32" t="n">
        <x:v>2550</x:v>
      </x:c>
      <x:c r="E339" s="32" t="n">
        <x:v>2550</x:v>
      </x:c>
      <x:c r="F339" s="36" t="n">
        <x:v>46213</x:v>
      </x:c>
      <x:c r="G339" s="36" t="n">
        <x:v>46216</x:v>
      </x:c>
      <x:c r="H339" t="n">
        <x:v>3</x:v>
      </x:c>
      <x:c r="I339" t="str">
        <x:v>Pago em atraso</x:v>
      </x:c>
    </x:row>
    <x:row r="340">
      <x:c r="A340" t="str">
        <x:v>PAG-000339</x:v>
      </x:c>
      <x:c r="B340" t="str">
        <x:v>IMV-0033</x:v>
      </x:c>
      <x:c r="C340" s="38" t="n">
        <x:v>46174</x:v>
      </x:c>
      <x:c r="D340" s="32" t="n">
        <x:v>2550</x:v>
      </x:c>
      <x:c r="E340" s="32" t="n">
        <x:v>2550</x:v>
      </x:c>
      <x:c r="F340" s="36" t="n">
        <x:v>46183</x:v>
      </x:c>
      <x:c r="G340" s="36" t="n">
        <x:v>46186</x:v>
      </x:c>
      <x:c r="H340" t="n">
        <x:v>3</x:v>
      </x:c>
      <x:c r="I340" t="str">
        <x:v>Pago em atraso</x:v>
      </x:c>
    </x:row>
    <x:row r="341">
      <x:c r="A341" t="str">
        <x:v>PAG-000340</x:v>
      </x:c>
      <x:c r="B341" t="str">
        <x:v>IMV-0033</x:v>
      </x:c>
      <x:c r="C341" s="38" t="n">
        <x:v>46143</x:v>
      </x:c>
      <x:c r="D341" s="32" t="n">
        <x:v>2550</x:v>
      </x:c>
      <x:c r="E341" s="32" t="n">
        <x:v>2550</x:v>
      </x:c>
      <x:c r="F341" s="36" t="n">
        <x:v>46152</x:v>
      </x:c>
      <x:c r="G341" s="36" t="n">
        <x:v>46153</x:v>
      </x:c>
      <x:c r="H341" t="n">
        <x:v>1</x:v>
      </x:c>
      <x:c r="I341" t="str">
        <x:v>Pago em atraso</x:v>
      </x:c>
    </x:row>
    <x:row r="342">
      <x:c r="A342" t="str">
        <x:v>PAG-000341</x:v>
      </x:c>
      <x:c r="B342" t="str">
        <x:v>IMV-0033</x:v>
      </x:c>
      <x:c r="C342" s="38" t="n">
        <x:v>46113</x:v>
      </x:c>
      <x:c r="D342" s="32" t="n">
        <x:v>2550</x:v>
      </x:c>
      <x:c r="E342" s="32" t="n">
        <x:v>2550</x:v>
      </x:c>
      <x:c r="F342" s="36" t="n">
        <x:v>46122</x:v>
      </x:c>
      <x:c r="G342" s="36" t="n">
        <x:v>46122</x:v>
      </x:c>
      <x:c r="H342" t="n">
        <x:v>0</x:v>
      </x:c>
      <x:c r="I342" t="str">
        <x:v>Pago em dia</x:v>
      </x:c>
    </x:row>
    <x:row r="343">
      <x:c r="A343" t="str">
        <x:v>PAG-000342</x:v>
      </x:c>
      <x:c r="B343" t="str">
        <x:v>IMV-0033</x:v>
      </x:c>
      <x:c r="C343" s="38" t="n">
        <x:v>46082</x:v>
      </x:c>
      <x:c r="D343" s="32" t="n">
        <x:v>2550</x:v>
      </x:c>
      <x:c r="E343" s="32" t="n">
        <x:v>2550</x:v>
      </x:c>
      <x:c r="F343" s="36" t="n">
        <x:v>46091</x:v>
      </x:c>
      <x:c r="G343" s="36" t="n">
        <x:v>46091</x:v>
      </x:c>
      <x:c r="H343" t="n">
        <x:v>0</x:v>
      </x:c>
      <x:c r="I343" t="str">
        <x:v>Pago em dia</x:v>
      </x:c>
    </x:row>
    <x:row r="344">
      <x:c r="A344" t="str">
        <x:v>PAG-000343</x:v>
      </x:c>
      <x:c r="B344" t="str">
        <x:v>IMV-0033</x:v>
      </x:c>
      <x:c r="C344" s="38" t="n">
        <x:v>46054</x:v>
      </x:c>
      <x:c r="D344" s="32" t="n">
        <x:v>2550</x:v>
      </x:c>
      <x:c r="E344" s="32" t="n">
        <x:v>2550</x:v>
      </x:c>
      <x:c r="F344" s="36" t="n">
        <x:v>46063</x:v>
      </x:c>
      <x:c r="G344" s="36" t="n">
        <x:v>46063</x:v>
      </x:c>
      <x:c r="H344" t="n">
        <x:v>0</x:v>
      </x:c>
      <x:c r="I344" t="str">
        <x:v>Pago em dia</x:v>
      </x:c>
    </x:row>
    <x:row r="345">
      <x:c r="A345" t="str">
        <x:v>PAG-000344</x:v>
      </x:c>
      <x:c r="B345" t="str">
        <x:v>IMV-0033</x:v>
      </x:c>
      <x:c r="C345" s="38" t="n">
        <x:v>46023</x:v>
      </x:c>
      <x:c r="D345" s="32" t="n">
        <x:v>2550</x:v>
      </x:c>
      <x:c r="E345" s="32" t="n">
        <x:v>2550</x:v>
      </x:c>
      <x:c r="F345" s="36" t="n">
        <x:v>46032</x:v>
      </x:c>
      <x:c r="G345" s="36" t="n">
        <x:v>46032</x:v>
      </x:c>
      <x:c r="H345" t="n">
        <x:v>0</x:v>
      </x:c>
      <x:c r="I345" t="str">
        <x:v>Pago em dia</x:v>
      </x:c>
    </x:row>
    <x:row r="346">
      <x:c r="A346" t="str">
        <x:v>PAG-000345</x:v>
      </x:c>
      <x:c r="B346" t="str">
        <x:v>IMV-0033</x:v>
      </x:c>
      <x:c r="C346" s="38" t="n">
        <x:v>45992</x:v>
      </x:c>
      <x:c r="D346" s="32" t="n">
        <x:v>2550</x:v>
      </x:c>
      <x:c r="E346" s="32" t="n">
        <x:v>2550</x:v>
      </x:c>
      <x:c r="F346" s="36" t="n">
        <x:v>46001</x:v>
      </x:c>
      <x:c r="G346" s="36" t="n">
        <x:v>46001</x:v>
      </x:c>
      <x:c r="H346" t="n">
        <x:v>0</x:v>
      </x:c>
      <x:c r="I346" t="str">
        <x:v>Pago em dia</x:v>
      </x:c>
    </x:row>
    <x:row r="347">
      <x:c r="A347" t="str">
        <x:v>PAG-000346</x:v>
      </x:c>
      <x:c r="B347" t="str">
        <x:v>IMV-0033</x:v>
      </x:c>
      <x:c r="C347" s="38" t="n">
        <x:v>45962</x:v>
      </x:c>
      <x:c r="D347" s="32" t="n">
        <x:v>2550</x:v>
      </x:c>
      <x:c r="E347" s="32" t="n">
        <x:v>2550</x:v>
      </x:c>
      <x:c r="F347" s="36" t="n">
        <x:v>45971</x:v>
      </x:c>
      <x:c r="G347" s="36" t="n">
        <x:v>45974</x:v>
      </x:c>
      <x:c r="H347" t="n">
        <x:v>3</x:v>
      </x:c>
      <x:c r="I347" t="str">
        <x:v>Pago em atraso</x:v>
      </x:c>
    </x:row>
    <x:row r="348">
      <x:c r="A348" t="str">
        <x:v>PAG-000347</x:v>
      </x:c>
      <x:c r="B348" t="str">
        <x:v>IMV-0033</x:v>
      </x:c>
      <x:c r="C348" s="38" t="n">
        <x:v>45931</x:v>
      </x:c>
      <x:c r="D348" s="32" t="n">
        <x:v>2550</x:v>
      </x:c>
      <x:c r="E348" s="32" t="n">
        <x:v>2550</x:v>
      </x:c>
      <x:c r="F348" s="36" t="n">
        <x:v>45940</x:v>
      </x:c>
      <x:c r="G348" s="36" t="n">
        <x:v>45942</x:v>
      </x:c>
      <x:c r="H348" t="n">
        <x:v>2</x:v>
      </x:c>
      <x:c r="I348" t="str">
        <x:v>Pago em atraso</x:v>
      </x:c>
    </x:row>
    <x:row r="349">
      <x:c r="A349" t="str">
        <x:v>PAG-000348</x:v>
      </x:c>
      <x:c r="B349" t="str">
        <x:v>IMV-0033</x:v>
      </x:c>
      <x:c r="C349" s="38" t="n">
        <x:v>45901</x:v>
      </x:c>
      <x:c r="D349" s="32" t="n">
        <x:v>2550</x:v>
      </x:c>
      <x:c r="E349" s="32" t="n">
        <x:v>2550</x:v>
      </x:c>
      <x:c r="F349" s="36" t="n">
        <x:v>45910</x:v>
      </x:c>
      <x:c r="G349" s="36" t="n">
        <x:v>45910</x:v>
      </x:c>
      <x:c r="H349" t="n">
        <x:v>0</x:v>
      </x:c>
      <x:c r="I349" t="str">
        <x:v>Pago em dia</x:v>
      </x:c>
    </x:row>
    <x:row r="350">
      <x:c r="A350" t="str">
        <x:v>PAG-000349</x:v>
      </x:c>
      <x:c r="B350" t="str">
        <x:v>IMV-0034</x:v>
      </x:c>
      <x:c r="C350" s="38" t="n">
        <x:v>46235</x:v>
      </x:c>
      <x:c r="D350" s="32" t="n">
        <x:v>5000</x:v>
      </x:c>
      <x:c r="E350" s="32" t="n">
        <x:v>5000</x:v>
      </x:c>
      <x:c r="F350" s="36" t="n">
        <x:v>46244</x:v>
      </x:c>
      <x:c r="G350" s="36" t="n">
        <x:v>46247</x:v>
      </x:c>
      <x:c r="H350" t="n">
        <x:v>3</x:v>
      </x:c>
      <x:c r="I350" t="str">
        <x:v>Pago em atraso</x:v>
      </x:c>
    </x:row>
    <x:row r="351">
      <x:c r="A351" t="str">
        <x:v>PAG-000350</x:v>
      </x:c>
      <x:c r="B351" t="str">
        <x:v>IMV-0034</x:v>
      </x:c>
      <x:c r="C351" s="38" t="n">
        <x:v>46204</x:v>
      </x:c>
      <x:c r="D351" s="32" t="n">
        <x:v>5000</x:v>
      </x:c>
      <x:c r="E351" s="32" t="n">
        <x:v>5000</x:v>
      </x:c>
      <x:c r="F351" s="36" t="n">
        <x:v>46213</x:v>
      </x:c>
      <x:c r="G351" s="36" t="n">
        <x:v>46213</x:v>
      </x:c>
      <x:c r="H351" t="n">
        <x:v>0</x:v>
      </x:c>
      <x:c r="I351" t="str">
        <x:v>Pago em dia</x:v>
      </x:c>
    </x:row>
    <x:row r="352">
      <x:c r="A352" t="str">
        <x:v>PAG-000351</x:v>
      </x:c>
      <x:c r="B352" t="str">
        <x:v>IMV-0034</x:v>
      </x:c>
      <x:c r="C352" s="38" t="n">
        <x:v>46174</x:v>
      </x:c>
      <x:c r="D352" s="32" t="n">
        <x:v>5000</x:v>
      </x:c>
      <x:c r="E352" s="32" t="n">
        <x:v>5000</x:v>
      </x:c>
      <x:c r="F352" s="36" t="n">
        <x:v>46183</x:v>
      </x:c>
      <x:c r="G352" s="36" t="n">
        <x:v>46183</x:v>
      </x:c>
      <x:c r="H352" t="n">
        <x:v>0</x:v>
      </x:c>
      <x:c r="I352" t="str">
        <x:v>Pago em dia</x:v>
      </x:c>
    </x:row>
    <x:row r="353">
      <x:c r="A353" t="str">
        <x:v>PAG-000352</x:v>
      </x:c>
      <x:c r="B353" t="str">
        <x:v>IMV-0034</x:v>
      </x:c>
      <x:c r="C353" s="38" t="n">
        <x:v>46143</x:v>
      </x:c>
      <x:c r="D353" s="32" t="n">
        <x:v>5000</x:v>
      </x:c>
      <x:c r="E353" s="32" t="n">
        <x:v>5000</x:v>
      </x:c>
      <x:c r="F353" s="36" t="n">
        <x:v>46152</x:v>
      </x:c>
      <x:c r="G353" s="36" t="n">
        <x:v>46155</x:v>
      </x:c>
      <x:c r="H353" t="n">
        <x:v>3</x:v>
      </x:c>
      <x:c r="I353" t="str">
        <x:v>Pago em atraso</x:v>
      </x:c>
    </x:row>
    <x:row r="354">
      <x:c r="A354" t="str">
        <x:v>PAG-000353</x:v>
      </x:c>
      <x:c r="B354" t="str">
        <x:v>IMV-0034</x:v>
      </x:c>
      <x:c r="C354" s="38" t="n">
        <x:v>46113</x:v>
      </x:c>
      <x:c r="D354" s="32" t="n">
        <x:v>5000</x:v>
      </x:c>
      <x:c r="E354" s="32" t="n">
        <x:v>5000</x:v>
      </x:c>
      <x:c r="F354" s="36" t="n">
        <x:v>46122</x:v>
      </x:c>
      <x:c r="G354" s="36" t="n">
        <x:v>46134</x:v>
      </x:c>
      <x:c r="H354" t="n">
        <x:v>12</x:v>
      </x:c>
      <x:c r="I354" t="str">
        <x:v>Pago em atraso</x:v>
      </x:c>
    </x:row>
    <x:row r="355">
      <x:c r="A355" t="str">
        <x:v>PAG-000354</x:v>
      </x:c>
      <x:c r="B355" t="str">
        <x:v>IMV-0034</x:v>
      </x:c>
      <x:c r="C355" s="38" t="n">
        <x:v>46082</x:v>
      </x:c>
      <x:c r="D355" s="32" t="n">
        <x:v>5000</x:v>
      </x:c>
      <x:c r="E355" s="32" t="n">
        <x:v>5000</x:v>
      </x:c>
      <x:c r="F355" s="36" t="n">
        <x:v>46091</x:v>
      </x:c>
      <x:c r="G355" s="36" t="n">
        <x:v>46094</x:v>
      </x:c>
      <x:c r="H355" t="n">
        <x:v>3</x:v>
      </x:c>
      <x:c r="I355" t="str">
        <x:v>Pago em atraso</x:v>
      </x:c>
    </x:row>
    <x:row r="356">
      <x:c r="A356" t="str">
        <x:v>PAG-000355</x:v>
      </x:c>
      <x:c r="B356" t="str">
        <x:v>IMV-0034</x:v>
      </x:c>
      <x:c r="C356" s="38" t="n">
        <x:v>46054</x:v>
      </x:c>
      <x:c r="D356" s="32" t="n">
        <x:v>5000</x:v>
      </x:c>
      <x:c r="E356" s="32" t="n">
        <x:v>5000</x:v>
      </x:c>
      <x:c r="F356" s="36" t="n">
        <x:v>46063</x:v>
      </x:c>
      <x:c r="G356" s="36" t="n">
        <x:v>46083</x:v>
      </x:c>
      <x:c r="H356" t="n">
        <x:v>20</x:v>
      </x:c>
      <x:c r="I356" t="str">
        <x:v>Pago em atraso</x:v>
      </x:c>
    </x:row>
    <x:row r="357">
      <x:c r="A357" t="str">
        <x:v>PAG-000356</x:v>
      </x:c>
      <x:c r="B357" t="str">
        <x:v>IMV-0034</x:v>
      </x:c>
      <x:c r="C357" s="38" t="n">
        <x:v>46023</x:v>
      </x:c>
      <x:c r="D357" s="32" t="n">
        <x:v>5000</x:v>
      </x:c>
      <x:c r="E357" s="32" t="n">
        <x:v>5000</x:v>
      </x:c>
      <x:c r="F357" s="36" t="n">
        <x:v>46032</x:v>
      </x:c>
      <x:c r="G357" s="36" t="n">
        <x:v>46035</x:v>
      </x:c>
      <x:c r="H357" t="n">
        <x:v>3</x:v>
      </x:c>
      <x:c r="I357" t="str">
        <x:v>Pago em atraso</x:v>
      </x:c>
    </x:row>
    <x:row r="358">
      <x:c r="A358" t="str">
        <x:v>PAG-000357</x:v>
      </x:c>
      <x:c r="B358" t="str">
        <x:v>IMV-0034</x:v>
      </x:c>
      <x:c r="C358" s="38" t="n">
        <x:v>45992</x:v>
      </x:c>
      <x:c r="D358" s="32" t="n">
        <x:v>5000</x:v>
      </x:c>
      <x:c r="E358" s="32" t="n">
        <x:v>5000</x:v>
      </x:c>
      <x:c r="F358" s="36" t="n">
        <x:v>46001</x:v>
      </x:c>
      <x:c r="G358" s="36" t="n">
        <x:v>46008</x:v>
      </x:c>
      <x:c r="H358" t="n">
        <x:v>7</x:v>
      </x:c>
      <x:c r="I358" t="str">
        <x:v>Pago em atraso</x:v>
      </x:c>
    </x:row>
    <x:row r="359">
      <x:c r="A359" t="str">
        <x:v>PAG-000358</x:v>
      </x:c>
      <x:c r="B359" t="str">
        <x:v>IMV-0034</x:v>
      </x:c>
      <x:c r="C359" s="38" t="n">
        <x:v>45962</x:v>
      </x:c>
      <x:c r="D359" s="32" t="n">
        <x:v>5000</x:v>
      </x:c>
      <x:c r="E359" s="32" t="n">
        <x:v>5000</x:v>
      </x:c>
      <x:c r="F359" s="36" t="n">
        <x:v>45971</x:v>
      </x:c>
      <x:c r="G359" s="36" t="n">
        <x:v>45971</x:v>
      </x:c>
      <x:c r="H359" t="n">
        <x:v>0</x:v>
      </x:c>
      <x:c r="I359" t="str">
        <x:v>Pago em dia</x:v>
      </x:c>
    </x:row>
    <x:row r="360">
      <x:c r="A360" t="str">
        <x:v>PAG-000359</x:v>
      </x:c>
      <x:c r="B360" t="str">
        <x:v>IMV-0034</x:v>
      </x:c>
      <x:c r="C360" s="38" t="n">
        <x:v>45931</x:v>
      </x:c>
      <x:c r="D360" s="32" t="n">
        <x:v>5000</x:v>
      </x:c>
      <x:c r="E360" s="32" t="n">
        <x:v>5000</x:v>
      </x:c>
      <x:c r="F360" s="36" t="n">
        <x:v>45940</x:v>
      </x:c>
      <x:c r="G360" s="36" t="n">
        <x:v>45940</x:v>
      </x:c>
      <x:c r="H360" t="n">
        <x:v>0</x:v>
      </x:c>
      <x:c r="I360" t="str">
        <x:v>Pago em dia</x:v>
      </x:c>
    </x:row>
    <x:row r="361">
      <x:c r="A361" t="str">
        <x:v>PAG-000360</x:v>
      </x:c>
      <x:c r="B361" t="str">
        <x:v>IMV-0034</x:v>
      </x:c>
      <x:c r="C361" s="38" t="n">
        <x:v>45901</x:v>
      </x:c>
      <x:c r="D361" s="32" t="n">
        <x:v>5000</x:v>
      </x:c>
      <x:c r="E361" s="32" t="n">
        <x:v>5000</x:v>
      </x:c>
      <x:c r="F361" s="36" t="n">
        <x:v>45910</x:v>
      </x:c>
      <x:c r="G361" s="36" t="n">
        <x:v>45913</x:v>
      </x:c>
      <x:c r="H361" t="n">
        <x:v>3</x:v>
      </x:c>
      <x:c r="I361" t="str">
        <x:v>Pago em atraso</x:v>
      </x:c>
    </x:row>
    <x:row r="362">
      <x:c r="A362" t="str">
        <x:v>PAG-000361</x:v>
      </x:c>
      <x:c r="B362" t="str">
        <x:v>IMV-0035</x:v>
      </x:c>
      <x:c r="C362" s="38" t="n">
        <x:v>46235</x:v>
      </x:c>
      <x:c r="D362" s="32" t="n">
        <x:v>3800</x:v>
      </x:c>
      <x:c r="E362" s="32" t="n">
        <x:v>3800</x:v>
      </x:c>
      <x:c r="F362" s="36" t="n">
        <x:v>46244</x:v>
      </x:c>
      <x:c r="G362" s="36" t="n">
        <x:v>46244</x:v>
      </x:c>
      <x:c r="H362" t="n">
        <x:v>0</x:v>
      </x:c>
      <x:c r="I362" t="str">
        <x:v>Pago em dia</x:v>
      </x:c>
    </x:row>
    <x:row r="363">
      <x:c r="A363" t="str">
        <x:v>PAG-000362</x:v>
      </x:c>
      <x:c r="B363" t="str">
        <x:v>IMV-0035</x:v>
      </x:c>
      <x:c r="C363" s="38" t="n">
        <x:v>46204</x:v>
      </x:c>
      <x:c r="D363" s="32" t="n">
        <x:v>3800</x:v>
      </x:c>
      <x:c r="E363" s="32" t="n">
        <x:v>3800</x:v>
      </x:c>
      <x:c r="F363" s="36" t="n">
        <x:v>46213</x:v>
      </x:c>
      <x:c r="G363" s="36" t="n">
        <x:v>46213</x:v>
      </x:c>
      <x:c r="H363" t="n">
        <x:v>0</x:v>
      </x:c>
      <x:c r="I363" t="str">
        <x:v>Pago em dia</x:v>
      </x:c>
    </x:row>
    <x:row r="364">
      <x:c r="A364" t="str">
        <x:v>PAG-000363</x:v>
      </x:c>
      <x:c r="B364" t="str">
        <x:v>IMV-0035</x:v>
      </x:c>
      <x:c r="C364" s="38" t="n">
        <x:v>46174</x:v>
      </x:c>
      <x:c r="D364" s="32" t="n">
        <x:v>3800</x:v>
      </x:c>
      <x:c r="E364" s="32" t="n">
        <x:v>3800</x:v>
      </x:c>
      <x:c r="F364" s="36" t="n">
        <x:v>46183</x:v>
      </x:c>
      <x:c r="G364" s="36" t="n">
        <x:v>46183</x:v>
      </x:c>
      <x:c r="H364" t="n">
        <x:v>0</x:v>
      </x:c>
      <x:c r="I364" t="str">
        <x:v>Pago em dia</x:v>
      </x:c>
    </x:row>
    <x:row r="365">
      <x:c r="A365" t="str">
        <x:v>PAG-000364</x:v>
      </x:c>
      <x:c r="B365" t="str">
        <x:v>IMV-0035</x:v>
      </x:c>
      <x:c r="C365" s="38" t="n">
        <x:v>46143</x:v>
      </x:c>
      <x:c r="D365" s="32" t="n">
        <x:v>3800</x:v>
      </x:c>
      <x:c r="E365" s="32" t="n">
        <x:v>3800</x:v>
      </x:c>
      <x:c r="F365" s="36" t="n">
        <x:v>46152</x:v>
      </x:c>
      <x:c r="G365" s="36" t="n">
        <x:v>46152</x:v>
      </x:c>
      <x:c r="H365" t="n">
        <x:v>0</x:v>
      </x:c>
      <x:c r="I365" t="str">
        <x:v>Pago em dia</x:v>
      </x:c>
    </x:row>
    <x:row r="366">
      <x:c r="A366" t="str">
        <x:v>PAG-000365</x:v>
      </x:c>
      <x:c r="B366" t="str">
        <x:v>IMV-0035</x:v>
      </x:c>
      <x:c r="C366" s="38" t="n">
        <x:v>46113</x:v>
      </x:c>
      <x:c r="D366" s="32" t="n">
        <x:v>3800</x:v>
      </x:c>
      <x:c r="E366" s="32" t="n">
        <x:v>3800</x:v>
      </x:c>
      <x:c r="F366" s="36" t="n">
        <x:v>46122</x:v>
      </x:c>
      <x:c r="G366" s="36" t="n">
        <x:v>46122</x:v>
      </x:c>
      <x:c r="H366" t="n">
        <x:v>0</x:v>
      </x:c>
      <x:c r="I366" t="str">
        <x:v>Pago em dia</x:v>
      </x:c>
    </x:row>
    <x:row r="367">
      <x:c r="A367" t="str">
        <x:v>PAG-000366</x:v>
      </x:c>
      <x:c r="B367" t="str">
        <x:v>IMV-0035</x:v>
      </x:c>
      <x:c r="C367" s="38" t="n">
        <x:v>46082</x:v>
      </x:c>
      <x:c r="D367" s="32" t="n">
        <x:v>3800</x:v>
      </x:c>
      <x:c r="E367" s="32" t="n">
        <x:v>3800</x:v>
      </x:c>
      <x:c r="F367" s="36" t="n">
        <x:v>46091</x:v>
      </x:c>
      <x:c r="G367" s="36" t="n">
        <x:v>46094</x:v>
      </x:c>
      <x:c r="H367" t="n">
        <x:v>3</x:v>
      </x:c>
      <x:c r="I367" t="str">
        <x:v>Pago em atraso</x:v>
      </x:c>
    </x:row>
    <x:row r="368">
      <x:c r="A368" t="str">
        <x:v>PAG-000367</x:v>
      </x:c>
      <x:c r="B368" t="str">
        <x:v>IMV-0035</x:v>
      </x:c>
      <x:c r="C368" s="38" t="n">
        <x:v>46054</x:v>
      </x:c>
      <x:c r="D368" s="32" t="n">
        <x:v>3800</x:v>
      </x:c>
      <x:c r="E368" s="32" t="n">
        <x:v>3800</x:v>
      </x:c>
      <x:c r="F368" s="36" t="n">
        <x:v>46063</x:v>
      </x:c>
      <x:c r="G368" s="36" t="n">
        <x:v>46063</x:v>
      </x:c>
      <x:c r="H368" t="n">
        <x:v>0</x:v>
      </x:c>
      <x:c r="I368" t="str">
        <x:v>Pago em dia</x:v>
      </x:c>
    </x:row>
    <x:row r="369">
      <x:c r="A369" t="str">
        <x:v>PAG-000368</x:v>
      </x:c>
      <x:c r="B369" t="str">
        <x:v>IMV-0035</x:v>
      </x:c>
      <x:c r="C369" s="38" t="n">
        <x:v>46023</x:v>
      </x:c>
      <x:c r="D369" s="32" t="n">
        <x:v>3800</x:v>
      </x:c>
      <x:c r="E369" s="32" t="n">
        <x:v>3800</x:v>
      </x:c>
      <x:c r="F369" s="36" t="n">
        <x:v>46032</x:v>
      </x:c>
      <x:c r="G369" s="36" t="n">
        <x:v>46034</x:v>
      </x:c>
      <x:c r="H369" t="n">
        <x:v>2</x:v>
      </x:c>
      <x:c r="I369" t="str">
        <x:v>Pago em atraso</x:v>
      </x:c>
    </x:row>
    <x:row r="370">
      <x:c r="A370" t="str">
        <x:v>PAG-000369</x:v>
      </x:c>
      <x:c r="B370" t="str">
        <x:v>IMV-0035</x:v>
      </x:c>
      <x:c r="C370" s="38" t="n">
        <x:v>45992</x:v>
      </x:c>
      <x:c r="D370" s="32" t="n">
        <x:v>3800</x:v>
      </x:c>
      <x:c r="E370" s="32" t="n">
        <x:v>3800</x:v>
      </x:c>
      <x:c r="F370" s="36" t="n">
        <x:v>46001</x:v>
      </x:c>
      <x:c r="G370" s="36" t="n">
        <x:v>46001</x:v>
      </x:c>
      <x:c r="H370" t="n">
        <x:v>0</x:v>
      </x:c>
      <x:c r="I370" t="str">
        <x:v>Pago em dia</x:v>
      </x:c>
    </x:row>
    <x:row r="371">
      <x:c r="A371" t="str">
        <x:v>PAG-000370</x:v>
      </x:c>
      <x:c r="B371" t="str">
        <x:v>IMV-0035</x:v>
      </x:c>
      <x:c r="C371" s="38" t="n">
        <x:v>45962</x:v>
      </x:c>
      <x:c r="D371" s="32" t="n">
        <x:v>3800</x:v>
      </x:c>
      <x:c r="E371" s="32" t="n">
        <x:v>3800</x:v>
      </x:c>
      <x:c r="F371" s="36" t="n">
        <x:v>45971</x:v>
      </x:c>
      <x:c r="G371" s="36" t="n">
        <x:v>45974</x:v>
      </x:c>
      <x:c r="H371" t="n">
        <x:v>3</x:v>
      </x:c>
      <x:c r="I371" t="str">
        <x:v>Pago em atraso</x:v>
      </x:c>
    </x:row>
    <x:row r="372">
      <x:c r="A372" t="str">
        <x:v>PAG-000371</x:v>
      </x:c>
      <x:c r="B372" t="str">
        <x:v>IMV-0035</x:v>
      </x:c>
      <x:c r="C372" s="38" t="n">
        <x:v>45931</x:v>
      </x:c>
      <x:c r="D372" s="32" t="n">
        <x:v>3800</x:v>
      </x:c>
      <x:c r="E372" s="32" t="n">
        <x:v>3800</x:v>
      </x:c>
      <x:c r="F372" s="36" t="n">
        <x:v>45940</x:v>
      </x:c>
      <x:c r="G372" s="36" t="n">
        <x:v>45942</x:v>
      </x:c>
      <x:c r="H372" t="n">
        <x:v>2</x:v>
      </x:c>
      <x:c r="I372" t="str">
        <x:v>Pago em atraso</x:v>
      </x:c>
    </x:row>
    <x:row r="373">
      <x:c r="A373" t="str">
        <x:v>PAG-000372</x:v>
      </x:c>
      <x:c r="B373" t="str">
        <x:v>IMV-0035</x:v>
      </x:c>
      <x:c r="C373" s="38" t="n">
        <x:v>45901</x:v>
      </x:c>
      <x:c r="D373" s="32" t="n">
        <x:v>3800</x:v>
      </x:c>
      <x:c r="E373" s="32" t="n">
        <x:v>3800</x:v>
      </x:c>
      <x:c r="F373" s="36" t="n">
        <x:v>45910</x:v>
      </x:c>
      <x:c r="G373" s="36" t="n">
        <x:v>45911</x:v>
      </x:c>
      <x:c r="H373" t="n">
        <x:v>1</x:v>
      </x:c>
      <x:c r="I373" t="str">
        <x:v>Pago em atraso</x:v>
      </x:c>
    </x:row>
    <x:row r="374">
      <x:c r="A374" t="str">
        <x:v>PAG-000373</x:v>
      </x:c>
      <x:c r="B374" t="str">
        <x:v>IMV-0036</x:v>
      </x:c>
      <x:c r="C374" s="38" t="n">
        <x:v>46235</x:v>
      </x:c>
      <x:c r="D374" s="32" t="n">
        <x:v>2650</x:v>
      </x:c>
      <x:c r="E374" s="32" t="n">
        <x:v>2650</x:v>
      </x:c>
      <x:c r="F374" s="36" t="n">
        <x:v>46244</x:v>
      </x:c>
      <x:c r="G374" s="36" t="n">
        <x:v>46245</x:v>
      </x:c>
      <x:c r="H374" t="n">
        <x:v>1</x:v>
      </x:c>
      <x:c r="I374" t="str">
        <x:v>Pago em atraso</x:v>
      </x:c>
    </x:row>
    <x:row r="375">
      <x:c r="A375" t="str">
        <x:v>PAG-000374</x:v>
      </x:c>
      <x:c r="B375" t="str">
        <x:v>IMV-0036</x:v>
      </x:c>
      <x:c r="C375" s="38" t="n">
        <x:v>46204</x:v>
      </x:c>
      <x:c r="D375" s="32" t="n">
        <x:v>2650</x:v>
      </x:c>
      <x:c r="E375" s="32" t="n">
        <x:v>2650</x:v>
      </x:c>
      <x:c r="F375" s="36" t="n">
        <x:v>46213</x:v>
      </x:c>
      <x:c r="G375" s="36" t="n">
        <x:v>46213</x:v>
      </x:c>
      <x:c r="H375" t="n">
        <x:v>0</x:v>
      </x:c>
      <x:c r="I375" t="str">
        <x:v>Pago em dia</x:v>
      </x:c>
    </x:row>
    <x:row r="376">
      <x:c r="A376" t="str">
        <x:v>PAG-000375</x:v>
      </x:c>
      <x:c r="B376" t="str">
        <x:v>IMV-0036</x:v>
      </x:c>
      <x:c r="C376" s="38" t="n">
        <x:v>46174</x:v>
      </x:c>
      <x:c r="D376" s="32" t="n">
        <x:v>2650</x:v>
      </x:c>
      <x:c r="E376" s="32" t="n">
        <x:v>2650</x:v>
      </x:c>
      <x:c r="F376" s="36" t="n">
        <x:v>46183</x:v>
      </x:c>
      <x:c r="G376" s="36" t="n">
        <x:v>46184</x:v>
      </x:c>
      <x:c r="H376" t="n">
        <x:v>1</x:v>
      </x:c>
      <x:c r="I376" t="str">
        <x:v>Pago em atraso</x:v>
      </x:c>
    </x:row>
    <x:row r="377">
      <x:c r="A377" t="str">
        <x:v>PAG-000376</x:v>
      </x:c>
      <x:c r="B377" t="str">
        <x:v>IMV-0036</x:v>
      </x:c>
      <x:c r="C377" s="38" t="n">
        <x:v>46143</x:v>
      </x:c>
      <x:c r="D377" s="32" t="n">
        <x:v>2650</x:v>
      </x:c>
      <x:c r="E377" s="32" t="n">
        <x:v>2650</x:v>
      </x:c>
      <x:c r="F377" s="36" t="n">
        <x:v>46152</x:v>
      </x:c>
      <x:c r="G377" s="36" t="n">
        <x:v>46152</x:v>
      </x:c>
      <x:c r="H377" t="n">
        <x:v>0</x:v>
      </x:c>
      <x:c r="I377" t="str">
        <x:v>Pago em dia</x:v>
      </x:c>
    </x:row>
    <x:row r="378">
      <x:c r="A378" t="str">
        <x:v>PAG-000377</x:v>
      </x:c>
      <x:c r="B378" t="str">
        <x:v>IMV-0036</x:v>
      </x:c>
      <x:c r="C378" s="38" t="n">
        <x:v>46113</x:v>
      </x:c>
      <x:c r="D378" s="32" t="n">
        <x:v>2650</x:v>
      </x:c>
      <x:c r="E378" s="32" t="n">
        <x:v>2650</x:v>
      </x:c>
      <x:c r="F378" s="36" t="n">
        <x:v>46122</x:v>
      </x:c>
      <x:c r="G378" s="36" t="n">
        <x:v>46125</x:v>
      </x:c>
      <x:c r="H378" t="n">
        <x:v>3</x:v>
      </x:c>
      <x:c r="I378" t="str">
        <x:v>Pago em atraso</x:v>
      </x:c>
    </x:row>
    <x:row r="379">
      <x:c r="A379" t="str">
        <x:v>PAG-000378</x:v>
      </x:c>
      <x:c r="B379" t="str">
        <x:v>IMV-0036</x:v>
      </x:c>
      <x:c r="C379" s="38" t="n">
        <x:v>46082</x:v>
      </x:c>
      <x:c r="D379" s="32" t="n">
        <x:v>2650</x:v>
      </x:c>
      <x:c r="E379" s="32" t="n">
        <x:v>2650</x:v>
      </x:c>
      <x:c r="F379" s="36" t="n">
        <x:v>46091</x:v>
      </x:c>
      <x:c r="G379" s="36" t="n">
        <x:v>46091</x:v>
      </x:c>
      <x:c r="H379" t="n">
        <x:v>0</x:v>
      </x:c>
      <x:c r="I379" t="str">
        <x:v>Pago em dia</x:v>
      </x:c>
    </x:row>
    <x:row r="380">
      <x:c r="A380" t="str">
        <x:v>PAG-000379</x:v>
      </x:c>
      <x:c r="B380" t="str">
        <x:v>IMV-0036</x:v>
      </x:c>
      <x:c r="C380" s="38" t="n">
        <x:v>46054</x:v>
      </x:c>
      <x:c r="D380" s="32" t="n">
        <x:v>2650</x:v>
      </x:c>
      <x:c r="E380" s="32" t="n">
        <x:v>2650</x:v>
      </x:c>
      <x:c r="F380" s="36" t="n">
        <x:v>46063</x:v>
      </x:c>
      <x:c r="G380" s="36" t="n">
        <x:v>46063</x:v>
      </x:c>
      <x:c r="H380" t="n">
        <x:v>0</x:v>
      </x:c>
      <x:c r="I380" t="str">
        <x:v>Pago em dia</x:v>
      </x:c>
    </x:row>
    <x:row r="381">
      <x:c r="A381" t="str">
        <x:v>PAG-000380</x:v>
      </x:c>
      <x:c r="B381" t="str">
        <x:v>IMV-0036</x:v>
      </x:c>
      <x:c r="C381" s="38" t="n">
        <x:v>46023</x:v>
      </x:c>
      <x:c r="D381" s="32" t="n">
        <x:v>2650</x:v>
      </x:c>
      <x:c r="E381" s="32" t="n">
        <x:v>2650</x:v>
      </x:c>
      <x:c r="F381" s="36" t="n">
        <x:v>46032</x:v>
      </x:c>
      <x:c r="G381" s="36" t="n">
        <x:v>46032</x:v>
      </x:c>
      <x:c r="H381" t="n">
        <x:v>0</x:v>
      </x:c>
      <x:c r="I381" t="str">
        <x:v>Pago em dia</x:v>
      </x:c>
    </x:row>
    <x:row r="382">
      <x:c r="A382" t="str">
        <x:v>PAG-000381</x:v>
      </x:c>
      <x:c r="B382" t="str">
        <x:v>IMV-0036</x:v>
      </x:c>
      <x:c r="C382" s="38" t="n">
        <x:v>45992</x:v>
      </x:c>
      <x:c r="D382" s="32" t="n">
        <x:v>2650</x:v>
      </x:c>
      <x:c r="E382" s="32" t="n">
        <x:v>2650</x:v>
      </x:c>
      <x:c r="F382" s="36" t="n">
        <x:v>46001</x:v>
      </x:c>
      <x:c r="G382" s="36" t="n">
        <x:v>46001</x:v>
      </x:c>
      <x:c r="H382" t="n">
        <x:v>0</x:v>
      </x:c>
      <x:c r="I382" t="str">
        <x:v>Pago em dia</x:v>
      </x:c>
    </x:row>
    <x:row r="383">
      <x:c r="A383" t="str">
        <x:v>PAG-000382</x:v>
      </x:c>
      <x:c r="B383" t="str">
        <x:v>IMV-0036</x:v>
      </x:c>
      <x:c r="C383" s="38" t="n">
        <x:v>45962</x:v>
      </x:c>
      <x:c r="D383" s="32" t="n">
        <x:v>2650</x:v>
      </x:c>
      <x:c r="E383" s="32" t="n">
        <x:v>2650</x:v>
      </x:c>
      <x:c r="F383" s="36" t="n">
        <x:v>45971</x:v>
      </x:c>
      <x:c r="G383" s="36" t="n">
        <x:v>45971</x:v>
      </x:c>
      <x:c r="H383" t="n">
        <x:v>0</x:v>
      </x:c>
      <x:c r="I383" t="str">
        <x:v>Pago em dia</x:v>
      </x:c>
    </x:row>
    <x:row r="384">
      <x:c r="A384" t="str">
        <x:v>PAG-000383</x:v>
      </x:c>
      <x:c r="B384" t="str">
        <x:v>IMV-0036</x:v>
      </x:c>
      <x:c r="C384" s="38" t="n">
        <x:v>45931</x:v>
      </x:c>
      <x:c r="D384" s="32" t="n">
        <x:v>2650</x:v>
      </x:c>
      <x:c r="E384" s="32" t="n">
        <x:v>2650</x:v>
      </x:c>
      <x:c r="F384" s="36" t="n">
        <x:v>45940</x:v>
      </x:c>
      <x:c r="G384" s="36" t="n">
        <x:v>45940</x:v>
      </x:c>
      <x:c r="H384" t="n">
        <x:v>0</x:v>
      </x:c>
      <x:c r="I384" t="str">
        <x:v>Pago em dia</x:v>
      </x:c>
    </x:row>
    <x:row r="385">
      <x:c r="A385" t="str">
        <x:v>PAG-000384</x:v>
      </x:c>
      <x:c r="B385" t="str">
        <x:v>IMV-0036</x:v>
      </x:c>
      <x:c r="C385" s="38" t="n">
        <x:v>45901</x:v>
      </x:c>
      <x:c r="D385" s="32" t="n">
        <x:v>2650</x:v>
      </x:c>
      <x:c r="E385" s="32" t="n">
        <x:v>2650</x:v>
      </x:c>
      <x:c r="F385" s="36" t="n">
        <x:v>45910</x:v>
      </x:c>
      <x:c r="G385" s="36" t="n">
        <x:v>45910</x:v>
      </x:c>
      <x:c r="H385" t="n">
        <x:v>0</x:v>
      </x:c>
      <x:c r="I385" t="str">
        <x:v>Pago em dia</x:v>
      </x:c>
    </x:row>
    <x:row r="386">
      <x:c r="A386" t="str">
        <x:v>PAG-000385</x:v>
      </x:c>
      <x:c r="B386" t="str">
        <x:v>IMV-0037</x:v>
      </x:c>
      <x:c r="C386" s="38" t="n">
        <x:v>46235</x:v>
      </x:c>
      <x:c r="D386" s="32" t="n">
        <x:v>1800</x:v>
      </x:c>
      <x:c r="E386" s="32" t="n">
        <x:v>1800</x:v>
      </x:c>
      <x:c r="F386" s="36" t="n">
        <x:v>46244</x:v>
      </x:c>
      <x:c r="G386" s="36" t="n">
        <x:v>46245</x:v>
      </x:c>
      <x:c r="H386" t="n">
        <x:v>1</x:v>
      </x:c>
      <x:c r="I386" t="str">
        <x:v>Pago em atraso</x:v>
      </x:c>
    </x:row>
    <x:row r="387">
      <x:c r="A387" t="str">
        <x:v>PAG-000386</x:v>
      </x:c>
      <x:c r="B387" t="str">
        <x:v>IMV-0037</x:v>
      </x:c>
      <x:c r="C387" s="38" t="n">
        <x:v>46204</x:v>
      </x:c>
      <x:c r="D387" s="32" t="n">
        <x:v>1800</x:v>
      </x:c>
      <x:c r="E387" s="32" t="n">
        <x:v>1800</x:v>
      </x:c>
      <x:c r="F387" s="36" t="n">
        <x:v>46213</x:v>
      </x:c>
      <x:c r="G387" s="36" t="n">
        <x:v>46215</x:v>
      </x:c>
      <x:c r="H387" t="n">
        <x:v>2</x:v>
      </x:c>
      <x:c r="I387" t="str">
        <x:v>Pago em atraso</x:v>
      </x:c>
    </x:row>
    <x:row r="388">
      <x:c r="A388" t="str">
        <x:v>PAG-000387</x:v>
      </x:c>
      <x:c r="B388" t="str">
        <x:v>IMV-0037</x:v>
      </x:c>
      <x:c r="C388" s="38" t="n">
        <x:v>46174</x:v>
      </x:c>
      <x:c r="D388" s="32" t="n">
        <x:v>1800</x:v>
      </x:c>
      <x:c r="E388" s="32" t="n">
        <x:v>1800</x:v>
      </x:c>
      <x:c r="F388" s="36" t="n">
        <x:v>46183</x:v>
      </x:c>
      <x:c r="G388" s="36" t="n">
        <x:v>46183</x:v>
      </x:c>
      <x:c r="H388" t="n">
        <x:v>0</x:v>
      </x:c>
      <x:c r="I388" t="str">
        <x:v>Pago em dia</x:v>
      </x:c>
    </x:row>
    <x:row r="389">
      <x:c r="A389" t="str">
        <x:v>PAG-000388</x:v>
      </x:c>
      <x:c r="B389" t="str">
        <x:v>IMV-0037</x:v>
      </x:c>
      <x:c r="C389" s="38" t="n">
        <x:v>46143</x:v>
      </x:c>
      <x:c r="D389" s="32" t="n">
        <x:v>1800</x:v>
      </x:c>
      <x:c r="E389" s="32" t="n">
        <x:v>1800</x:v>
      </x:c>
      <x:c r="F389" s="36" t="n">
        <x:v>46152</x:v>
      </x:c>
      <x:c r="G389" s="36" t="n">
        <x:v>46152</x:v>
      </x:c>
      <x:c r="H389" t="n">
        <x:v>0</x:v>
      </x:c>
      <x:c r="I389" t="str">
        <x:v>Pago em dia</x:v>
      </x:c>
    </x:row>
    <x:row r="390">
      <x:c r="A390" t="str">
        <x:v>PAG-000389</x:v>
      </x:c>
      <x:c r="B390" t="str">
        <x:v>IMV-0037</x:v>
      </x:c>
      <x:c r="C390" s="38" t="n">
        <x:v>46113</x:v>
      </x:c>
      <x:c r="D390" s="32" t="n">
        <x:v>1800</x:v>
      </x:c>
      <x:c r="E390" s="32" t="n">
        <x:v>1800</x:v>
      </x:c>
      <x:c r="F390" s="36" t="n">
        <x:v>46122</x:v>
      </x:c>
      <x:c r="G390" s="36" t="n">
        <x:v>46122</x:v>
      </x:c>
      <x:c r="H390" t="n">
        <x:v>0</x:v>
      </x:c>
      <x:c r="I390" t="str">
        <x:v>Pago em dia</x:v>
      </x:c>
    </x:row>
    <x:row r="391">
      <x:c r="A391" t="str">
        <x:v>PAG-000390</x:v>
      </x:c>
      <x:c r="B391" t="str">
        <x:v>IMV-0037</x:v>
      </x:c>
      <x:c r="C391" s="38" t="n">
        <x:v>46082</x:v>
      </x:c>
      <x:c r="D391" s="32" t="n">
        <x:v>1800</x:v>
      </x:c>
      <x:c r="E391" s="32" t="n">
        <x:v>1800</x:v>
      </x:c>
      <x:c r="F391" s="36" t="n">
        <x:v>46091</x:v>
      </x:c>
      <x:c r="G391" s="36" t="n">
        <x:v>46091</x:v>
      </x:c>
      <x:c r="H391" t="n">
        <x:v>0</x:v>
      </x:c>
      <x:c r="I391" t="str">
        <x:v>Pago em dia</x:v>
      </x:c>
    </x:row>
    <x:row r="392">
      <x:c r="A392" t="str">
        <x:v>PAG-000391</x:v>
      </x:c>
      <x:c r="B392" t="str">
        <x:v>IMV-0037</x:v>
      </x:c>
      <x:c r="C392" s="38" t="n">
        <x:v>46054</x:v>
      </x:c>
      <x:c r="D392" s="32" t="n">
        <x:v>1800</x:v>
      </x:c>
      <x:c r="E392" s="32" t="n">
        <x:v>1800</x:v>
      </x:c>
      <x:c r="F392" s="36" t="n">
        <x:v>46063</x:v>
      </x:c>
      <x:c r="G392" s="36" t="n">
        <x:v>46064</x:v>
      </x:c>
      <x:c r="H392" t="n">
        <x:v>1</x:v>
      </x:c>
      <x:c r="I392" t="str">
        <x:v>Pago em atraso</x:v>
      </x:c>
    </x:row>
    <x:row r="393">
      <x:c r="A393" t="str">
        <x:v>PAG-000392</x:v>
      </x:c>
      <x:c r="B393" t="str">
        <x:v>IMV-0037</x:v>
      </x:c>
      <x:c r="C393" s="38" t="n">
        <x:v>46023</x:v>
      </x:c>
      <x:c r="D393" s="32" t="n">
        <x:v>1800</x:v>
      </x:c>
      <x:c r="E393" s="32" t="n">
        <x:v>1800</x:v>
      </x:c>
      <x:c r="F393" s="36" t="n">
        <x:v>46032</x:v>
      </x:c>
      <x:c r="G393" s="36" t="n">
        <x:v>46032</x:v>
      </x:c>
      <x:c r="H393" t="n">
        <x:v>0</x:v>
      </x:c>
      <x:c r="I393" t="str">
        <x:v>Pago em dia</x:v>
      </x:c>
    </x:row>
    <x:row r="394">
      <x:c r="A394" t="str">
        <x:v>PAG-000393</x:v>
      </x:c>
      <x:c r="B394" t="str">
        <x:v>IMV-0037</x:v>
      </x:c>
      <x:c r="C394" s="38" t="n">
        <x:v>45992</x:v>
      </x:c>
      <x:c r="D394" s="32" t="n">
        <x:v>1800</x:v>
      </x:c>
      <x:c r="E394" s="32" t="n">
        <x:v>1800</x:v>
      </x:c>
      <x:c r="F394" s="36" t="n">
        <x:v>46001</x:v>
      </x:c>
      <x:c r="G394" s="36" t="n">
        <x:v>46001</x:v>
      </x:c>
      <x:c r="H394" t="n">
        <x:v>0</x:v>
      </x:c>
      <x:c r="I394" t="str">
        <x:v>Pago em dia</x:v>
      </x:c>
    </x:row>
    <x:row r="395">
      <x:c r="A395" t="str">
        <x:v>PAG-000394</x:v>
      </x:c>
      <x:c r="B395" t="str">
        <x:v>IMV-0037</x:v>
      </x:c>
      <x:c r="C395" s="38" t="n">
        <x:v>45962</x:v>
      </x:c>
      <x:c r="D395" s="32" t="n">
        <x:v>1800</x:v>
      </x:c>
      <x:c r="E395" s="32" t="n">
        <x:v>1800</x:v>
      </x:c>
      <x:c r="F395" s="36" t="n">
        <x:v>45971</x:v>
      </x:c>
      <x:c r="G395" s="36" t="n">
        <x:v>45971</x:v>
      </x:c>
      <x:c r="H395" t="n">
        <x:v>0</x:v>
      </x:c>
      <x:c r="I395" t="str">
        <x:v>Pago em dia</x:v>
      </x:c>
    </x:row>
    <x:row r="396">
      <x:c r="A396" t="str">
        <x:v>PAG-000395</x:v>
      </x:c>
      <x:c r="B396" t="str">
        <x:v>IMV-0037</x:v>
      </x:c>
      <x:c r="C396" s="38" t="n">
        <x:v>45931</x:v>
      </x:c>
      <x:c r="D396" s="32" t="n">
        <x:v>1800</x:v>
      </x:c>
      <x:c r="E396" s="32" t="n">
        <x:v>1800</x:v>
      </x:c>
      <x:c r="F396" s="36" t="n">
        <x:v>45940</x:v>
      </x:c>
      <x:c r="G396" s="36" t="n">
        <x:v>45941</x:v>
      </x:c>
      <x:c r="H396" t="n">
        <x:v>1</x:v>
      </x:c>
      <x:c r="I396" t="str">
        <x:v>Pago em atraso</x:v>
      </x:c>
    </x:row>
    <x:row r="397">
      <x:c r="A397" t="str">
        <x:v>PAG-000396</x:v>
      </x:c>
      <x:c r="B397" t="str">
        <x:v>IMV-0037</x:v>
      </x:c>
      <x:c r="C397" s="38" t="n">
        <x:v>45901</x:v>
      </x:c>
      <x:c r="D397" s="32" t="n">
        <x:v>1800</x:v>
      </x:c>
      <x:c r="E397" s="32" t="n">
        <x:v>1800</x:v>
      </x:c>
      <x:c r="F397" s="36" t="n">
        <x:v>45910</x:v>
      </x:c>
      <x:c r="G397" s="36" t="n">
        <x:v>45910</x:v>
      </x:c>
      <x:c r="H397" t="n">
        <x:v>0</x:v>
      </x:c>
      <x:c r="I397" t="str">
        <x:v>Pago em dia</x:v>
      </x:c>
    </x:row>
    <x:row r="398">
      <x:c r="A398" t="str">
        <x:v>PAG-000397</x:v>
      </x:c>
      <x:c r="B398" t="str">
        <x:v>IMV-0038</x:v>
      </x:c>
      <x:c r="C398" s="38" t="n">
        <x:v>46235</x:v>
      </x:c>
      <x:c r="D398" s="32" t="n">
        <x:v>1750</x:v>
      </x:c>
      <x:c r="E398" s="32" t="n">
        <x:v>1750</x:v>
      </x:c>
      <x:c r="F398" s="36" t="n">
        <x:v>46244</x:v>
      </x:c>
      <x:c r="G398" s="36" t="n">
        <x:v>46246</x:v>
      </x:c>
      <x:c r="H398" t="n">
        <x:v>2</x:v>
      </x:c>
      <x:c r="I398" t="str">
        <x:v>Pago em atraso</x:v>
      </x:c>
    </x:row>
    <x:row r="399">
      <x:c r="A399" t="str">
        <x:v>PAG-000398</x:v>
      </x:c>
      <x:c r="B399" t="str">
        <x:v>IMV-0038</x:v>
      </x:c>
      <x:c r="C399" s="38" t="n">
        <x:v>46204</x:v>
      </x:c>
      <x:c r="D399" s="32" t="n">
        <x:v>1750</x:v>
      </x:c>
      <x:c r="E399" s="32" t="n">
        <x:v>1750</x:v>
      </x:c>
      <x:c r="F399" s="36" t="n">
        <x:v>46213</x:v>
      </x:c>
      <x:c r="G399" s="36" t="n">
        <x:v>46213</x:v>
      </x:c>
      <x:c r="H399" t="n">
        <x:v>0</x:v>
      </x:c>
      <x:c r="I399" t="str">
        <x:v>Pago em dia</x:v>
      </x:c>
    </x:row>
    <x:row r="400">
      <x:c r="A400" t="str">
        <x:v>PAG-000399</x:v>
      </x:c>
      <x:c r="B400" t="str">
        <x:v>IMV-0038</x:v>
      </x:c>
      <x:c r="C400" s="38" t="n">
        <x:v>46174</x:v>
      </x:c>
      <x:c r="D400" s="32" t="n">
        <x:v>1750</x:v>
      </x:c>
      <x:c r="E400" s="32" t="n">
        <x:v>1750</x:v>
      </x:c>
      <x:c r="F400" s="36" t="n">
        <x:v>46183</x:v>
      </x:c>
      <x:c r="G400" s="36" t="n">
        <x:v>46184</x:v>
      </x:c>
      <x:c r="H400" t="n">
        <x:v>1</x:v>
      </x:c>
      <x:c r="I400" t="str">
        <x:v>Pago em atraso</x:v>
      </x:c>
    </x:row>
    <x:row r="401">
      <x:c r="A401" t="str">
        <x:v>PAG-000400</x:v>
      </x:c>
      <x:c r="B401" t="str">
        <x:v>IMV-0038</x:v>
      </x:c>
      <x:c r="C401" s="38" t="n">
        <x:v>46143</x:v>
      </x:c>
      <x:c r="D401" s="32" t="n">
        <x:v>1750</x:v>
      </x:c>
      <x:c r="E401" s="32" t="n">
        <x:v>1750</x:v>
      </x:c>
      <x:c r="F401" s="36" t="n">
        <x:v>46152</x:v>
      </x:c>
      <x:c r="G401" s="36" t="n">
        <x:v>46155</x:v>
      </x:c>
      <x:c r="H401" t="n">
        <x:v>3</x:v>
      </x:c>
      <x:c r="I401" t="str">
        <x:v>Pago em atraso</x:v>
      </x:c>
    </x:row>
    <x:row r="402">
      <x:c r="A402" t="str">
        <x:v>PAG-000401</x:v>
      </x:c>
      <x:c r="B402" t="str">
        <x:v>IMV-0038</x:v>
      </x:c>
      <x:c r="C402" s="38" t="n">
        <x:v>46113</x:v>
      </x:c>
      <x:c r="D402" s="32" t="n">
        <x:v>1750</x:v>
      </x:c>
      <x:c r="E402" s="32" t="n">
        <x:v>1750</x:v>
      </x:c>
      <x:c r="F402" s="36" t="n">
        <x:v>46122</x:v>
      </x:c>
      <x:c r="G402" s="36" t="n">
        <x:v>46122</x:v>
      </x:c>
      <x:c r="H402" t="n">
        <x:v>0</x:v>
      </x:c>
      <x:c r="I402" t="str">
        <x:v>Pago em dia</x:v>
      </x:c>
    </x:row>
    <x:row r="403">
      <x:c r="A403" t="str">
        <x:v>PAG-000402</x:v>
      </x:c>
      <x:c r="B403" t="str">
        <x:v>IMV-0038</x:v>
      </x:c>
      <x:c r="C403" s="38" t="n">
        <x:v>46082</x:v>
      </x:c>
      <x:c r="D403" s="32" t="n">
        <x:v>1750</x:v>
      </x:c>
      <x:c r="E403" s="32" t="n">
        <x:v>1750</x:v>
      </x:c>
      <x:c r="F403" s="36" t="n">
        <x:v>46091</x:v>
      </x:c>
      <x:c r="G403" s="36" t="n">
        <x:v>46091</x:v>
      </x:c>
      <x:c r="H403" t="n">
        <x:v>0</x:v>
      </x:c>
      <x:c r="I403" t="str">
        <x:v>Pago em dia</x:v>
      </x:c>
    </x:row>
    <x:row r="404">
      <x:c r="A404" t="str">
        <x:v>PAG-000403</x:v>
      </x:c>
      <x:c r="B404" t="str">
        <x:v>IMV-0038</x:v>
      </x:c>
      <x:c r="C404" s="38" t="n">
        <x:v>46054</x:v>
      </x:c>
      <x:c r="D404" s="32" t="n">
        <x:v>1750</x:v>
      </x:c>
      <x:c r="E404" s="32" t="n">
        <x:v>1750</x:v>
      </x:c>
      <x:c r="F404" s="36" t="n">
        <x:v>46063</x:v>
      </x:c>
      <x:c r="G404" s="36" t="n">
        <x:v>46066</x:v>
      </x:c>
      <x:c r="H404" t="n">
        <x:v>3</x:v>
      </x:c>
      <x:c r="I404" t="str">
        <x:v>Pago em atraso</x:v>
      </x:c>
    </x:row>
    <x:row r="405">
      <x:c r="A405" t="str">
        <x:v>PAG-000404</x:v>
      </x:c>
      <x:c r="B405" t="str">
        <x:v>IMV-0038</x:v>
      </x:c>
      <x:c r="C405" s="38" t="n">
        <x:v>46023</x:v>
      </x:c>
      <x:c r="D405" s="32" t="n">
        <x:v>1750</x:v>
      </x:c>
      <x:c r="E405" s="32" t="n">
        <x:v>1750</x:v>
      </x:c>
      <x:c r="F405" s="36" t="n">
        <x:v>46032</x:v>
      </x:c>
      <x:c r="G405" s="36" t="n">
        <x:v>46035</x:v>
      </x:c>
      <x:c r="H405" t="n">
        <x:v>3</x:v>
      </x:c>
      <x:c r="I405" t="str">
        <x:v>Pago em atraso</x:v>
      </x:c>
    </x:row>
    <x:row r="406">
      <x:c r="A406" t="str">
        <x:v>PAG-000405</x:v>
      </x:c>
      <x:c r="B406" t="str">
        <x:v>IMV-0038</x:v>
      </x:c>
      <x:c r="C406" s="38" t="n">
        <x:v>45992</x:v>
      </x:c>
      <x:c r="D406" s="32" t="n">
        <x:v>1750</x:v>
      </x:c>
      <x:c r="E406" s="32" t="n">
        <x:v>1750</x:v>
      </x:c>
      <x:c r="F406" s="36" t="n">
        <x:v>46001</x:v>
      </x:c>
      <x:c r="G406" s="36" t="n">
        <x:v>46001</x:v>
      </x:c>
      <x:c r="H406" t="n">
        <x:v>0</x:v>
      </x:c>
      <x:c r="I406" t="str">
        <x:v>Pago em dia</x:v>
      </x:c>
    </x:row>
    <x:row r="407">
      <x:c r="A407" t="str">
        <x:v>PAG-000406</x:v>
      </x:c>
      <x:c r="B407" t="str">
        <x:v>IMV-0038</x:v>
      </x:c>
      <x:c r="C407" s="38" t="n">
        <x:v>45962</x:v>
      </x:c>
      <x:c r="D407" s="32" t="n">
        <x:v>1750</x:v>
      </x:c>
      <x:c r="E407" s="32" t="n">
        <x:v>1750</x:v>
      </x:c>
      <x:c r="F407" s="36" t="n">
        <x:v>45971</x:v>
      </x:c>
      <x:c r="G407" s="36" t="n">
        <x:v>45971</x:v>
      </x:c>
      <x:c r="H407" t="n">
        <x:v>0</x:v>
      </x:c>
      <x:c r="I407" t="str">
        <x:v>Pago em dia</x:v>
      </x:c>
    </x:row>
    <x:row r="408">
      <x:c r="A408" t="str">
        <x:v>PAG-000407</x:v>
      </x:c>
      <x:c r="B408" t="str">
        <x:v>IMV-0038</x:v>
      </x:c>
      <x:c r="C408" s="38" t="n">
        <x:v>45931</x:v>
      </x:c>
      <x:c r="D408" s="32" t="n">
        <x:v>1750</x:v>
      </x:c>
      <x:c r="E408" s="32" t="n">
        <x:v>1750</x:v>
      </x:c>
      <x:c r="F408" s="36" t="n">
        <x:v>45940</x:v>
      </x:c>
      <x:c r="G408" s="36" t="n">
        <x:v>45940</x:v>
      </x:c>
      <x:c r="H408" t="n">
        <x:v>0</x:v>
      </x:c>
      <x:c r="I408" t="str">
        <x:v>Pago em dia</x:v>
      </x:c>
    </x:row>
    <x:row r="409">
      <x:c r="A409" t="str">
        <x:v>PAG-000408</x:v>
      </x:c>
      <x:c r="B409" t="str">
        <x:v>IMV-0038</x:v>
      </x:c>
      <x:c r="C409" s="38" t="n">
        <x:v>45901</x:v>
      </x:c>
      <x:c r="D409" s="32" t="n">
        <x:v>1750</x:v>
      </x:c>
      <x:c r="E409" s="32" t="n">
        <x:v>1750</x:v>
      </x:c>
      <x:c r="F409" s="36" t="n">
        <x:v>45910</x:v>
      </x:c>
      <x:c r="G409" s="36" t="n">
        <x:v>45910</x:v>
      </x:c>
      <x:c r="H409" t="n">
        <x:v>0</x:v>
      </x:c>
      <x:c r="I409" t="str">
        <x:v>Pago em dia</x:v>
      </x:c>
    </x:row>
    <x:row r="410">
      <x:c r="A410" t="str">
        <x:v>PAG-000409</x:v>
      </x:c>
      <x:c r="B410" t="str">
        <x:v>IMV-0040</x:v>
      </x:c>
      <x:c r="C410" s="38" t="n">
        <x:v>46235</x:v>
      </x:c>
      <x:c r="D410" s="32" t="n">
        <x:v>2400</x:v>
      </x:c>
      <x:c r="E410" s="32" t="n">
        <x:v>2400</x:v>
      </x:c>
      <x:c r="F410" s="36" t="n">
        <x:v>46244</x:v>
      </x:c>
      <x:c r="G410" s="36" t="n">
        <x:v>46264</x:v>
      </x:c>
      <x:c r="H410" t="n">
        <x:v>20</x:v>
      </x:c>
      <x:c r="I410" t="str">
        <x:v>Pago em atraso</x:v>
      </x:c>
    </x:row>
    <x:row r="411">
      <x:c r="A411" t="str">
        <x:v>PAG-000410</x:v>
      </x:c>
      <x:c r="B411" t="str">
        <x:v>IMV-0040</x:v>
      </x:c>
      <x:c r="C411" s="38" t="n">
        <x:v>46204</x:v>
      </x:c>
      <x:c r="D411" s="32" t="n">
        <x:v>2400</x:v>
      </x:c>
      <x:c r="E411" s="32" t="n">
        <x:v>2400</x:v>
      </x:c>
      <x:c r="F411" s="36" t="n">
        <x:v>46213</x:v>
      </x:c>
      <x:c r="G411" s="36" t="n">
        <x:v>46248</x:v>
      </x:c>
      <x:c r="H411" t="n">
        <x:v>35</x:v>
      </x:c>
      <x:c r="I411" t="str">
        <x:v>Pago em atraso</x:v>
      </x:c>
    </x:row>
    <x:row r="412">
      <x:c r="A412" t="str">
        <x:v>PAG-000411</x:v>
      </x:c>
      <x:c r="B412" t="str">
        <x:v>IMV-0040</x:v>
      </x:c>
      <x:c r="C412" s="38" t="n">
        <x:v>46174</x:v>
      </x:c>
      <x:c r="D412" s="32" t="n">
        <x:v>2400</x:v>
      </x:c>
      <x:c r="E412" s="32" t="n">
        <x:v>2400</x:v>
      </x:c>
      <x:c r="F412" s="36" t="n">
        <x:v>46183</x:v>
      </x:c>
      <x:c r="G412" s="36" t="n">
        <x:v>46243</x:v>
      </x:c>
      <x:c r="H412" t="n">
        <x:v>60</x:v>
      </x:c>
      <x:c r="I412" t="str">
        <x:v>Pago em atraso</x:v>
      </x:c>
    </x:row>
    <x:row r="413">
      <x:c r="A413" t="str">
        <x:v>PAG-000412</x:v>
      </x:c>
      <x:c r="B413" t="str">
        <x:v>IMV-0040</x:v>
      </x:c>
      <x:c r="C413" s="38" t="n">
        <x:v>46143</x:v>
      </x:c>
      <x:c r="D413" s="32" t="n">
        <x:v>2400</x:v>
      </x:c>
      <x:c r="E413" s="32" t="n">
        <x:v>2400</x:v>
      </x:c>
      <x:c r="F413" s="36" t="n">
        <x:v>46152</x:v>
      </x:c>
      <x:c r="G413" s="36" t="n">
        <x:v>46187</x:v>
      </x:c>
      <x:c r="H413" t="n">
        <x:v>35</x:v>
      </x:c>
      <x:c r="I413" t="str">
        <x:v>Pago em atraso</x:v>
      </x:c>
    </x:row>
    <x:row r="414">
      <x:c r="A414" t="str">
        <x:v>PAG-000413</x:v>
      </x:c>
      <x:c r="B414" t="str">
        <x:v>IMV-0040</x:v>
      </x:c>
      <x:c r="C414" s="38" t="n">
        <x:v>46113</x:v>
      </x:c>
      <x:c r="D414" s="32" t="n">
        <x:v>2400</x:v>
      </x:c>
      <x:c r="E414" s="32" t="n">
        <x:v>2400</x:v>
      </x:c>
      <x:c r="F414" s="36" t="n">
        <x:v>46122</x:v>
      </x:c>
      <x:c r="G414" s="36" t="n">
        <x:v>46142</x:v>
      </x:c>
      <x:c r="H414" t="n">
        <x:v>20</x:v>
      </x:c>
      <x:c r="I414" t="str">
        <x:v>Pago em atraso</x:v>
      </x:c>
    </x:row>
    <x:row r="415">
      <x:c r="A415" t="str">
        <x:v>PAG-000414</x:v>
      </x:c>
      <x:c r="B415" t="str">
        <x:v>IMV-0040</x:v>
      </x:c>
      <x:c r="C415" s="38" t="n">
        <x:v>46082</x:v>
      </x:c>
      <x:c r="D415" s="32" t="n">
        <x:v>2400</x:v>
      </x:c>
      <x:c r="E415" s="32" t="n">
        <x:v>2400</x:v>
      </x:c>
      <x:c r="F415" s="36" t="n">
        <x:v>46091</x:v>
      </x:c>
      <x:c r="G415" s="36" t="n">
        <x:v>46103</x:v>
      </x:c>
      <x:c r="H415" t="n">
        <x:v>12</x:v>
      </x:c>
      <x:c r="I415" t="str">
        <x:v>Pago em atraso</x:v>
      </x:c>
    </x:row>
    <x:row r="416">
      <x:c r="A416" t="str">
        <x:v>PAG-000415</x:v>
      </x:c>
      <x:c r="B416" t="str">
        <x:v>IMV-0040</x:v>
      </x:c>
      <x:c r="C416" s="38" t="n">
        <x:v>46054</x:v>
      </x:c>
      <x:c r="D416" s="32" t="n">
        <x:v>2400</x:v>
      </x:c>
      <x:c r="E416" s="32" t="n">
        <x:v>2400</x:v>
      </x:c>
      <x:c r="F416" s="36" t="n">
        <x:v>46063</x:v>
      </x:c>
      <x:c r="G416" s="36" t="n">
        <x:v>46083</x:v>
      </x:c>
      <x:c r="H416" t="n">
        <x:v>20</x:v>
      </x:c>
      <x:c r="I416" t="str">
        <x:v>Pago em atraso</x:v>
      </x:c>
    </x:row>
    <x:row r="417">
      <x:c r="A417" t="str">
        <x:v>PAG-000416</x:v>
      </x:c>
      <x:c r="B417" t="str">
        <x:v>IMV-0040</x:v>
      </x:c>
      <x:c r="C417" s="38" t="n">
        <x:v>46023</x:v>
      </x:c>
      <x:c r="D417" s="32" t="n">
        <x:v>2400</x:v>
      </x:c>
      <x:c r="E417" s="32" t="n">
        <x:v>2400</x:v>
      </x:c>
      <x:c r="F417" s="36" t="n">
        <x:v>46032</x:v>
      </x:c>
      <x:c r="G417" s="36" t="n">
        <x:v>46052</x:v>
      </x:c>
      <x:c r="H417" t="n">
        <x:v>20</x:v>
      </x:c>
      <x:c r="I417" t="str">
        <x:v>Pago em atraso</x:v>
      </x:c>
    </x:row>
    <x:row r="418">
      <x:c r="A418" t="str">
        <x:v>PAG-000417</x:v>
      </x:c>
      <x:c r="B418" t="str">
        <x:v>IMV-0040</x:v>
      </x:c>
      <x:c r="C418" s="38" t="n">
        <x:v>45992</x:v>
      </x:c>
      <x:c r="D418" s="32" t="n">
        <x:v>2400</x:v>
      </x:c>
      <x:c r="E418" s="32" t="n">
        <x:v>2400</x:v>
      </x:c>
      <x:c r="F418" s="36" t="n">
        <x:v>46001</x:v>
      </x:c>
      <x:c r="G418" s="36" t="n">
        <x:v>46008</x:v>
      </x:c>
      <x:c r="H418" t="n">
        <x:v>7</x:v>
      </x:c>
      <x:c r="I418" t="str">
        <x:v>Pago em atraso</x:v>
      </x:c>
    </x:row>
    <x:row r="419">
      <x:c r="A419" t="str">
        <x:v>PAG-000418</x:v>
      </x:c>
      <x:c r="B419" t="str">
        <x:v>IMV-0040</x:v>
      </x:c>
      <x:c r="C419" s="38" t="n">
        <x:v>45962</x:v>
      </x:c>
      <x:c r="D419" s="32" t="n">
        <x:v>2400</x:v>
      </x:c>
      <x:c r="E419" s="32" t="n">
        <x:v>2400</x:v>
      </x:c>
      <x:c r="F419" s="36" t="n">
        <x:v>45971</x:v>
      </x:c>
      <x:c r="G419" s="36" t="n">
        <x:v>45978</x:v>
      </x:c>
      <x:c r="H419" t="n">
        <x:v>7</x:v>
      </x:c>
      <x:c r="I419" t="str">
        <x:v>Pago em atraso</x:v>
      </x:c>
    </x:row>
    <x:row r="420">
      <x:c r="A420" t="str">
        <x:v>PAG-000419</x:v>
      </x:c>
      <x:c r="B420" t="str">
        <x:v>IMV-0040</x:v>
      </x:c>
      <x:c r="C420" s="38" t="n">
        <x:v>45931</x:v>
      </x:c>
      <x:c r="D420" s="32" t="n">
        <x:v>2400</x:v>
      </x:c>
      <x:c r="E420" s="32" t="n">
        <x:v>2400</x:v>
      </x:c>
      <x:c r="F420" s="36" t="n">
        <x:v>45940</x:v>
      </x:c>
      <x:c r="G420" s="36" t="n">
        <x:v>45975</x:v>
      </x:c>
      <x:c r="H420" t="n">
        <x:v>35</x:v>
      </x:c>
      <x:c r="I420" t="str">
        <x:v>Pago em atraso</x:v>
      </x:c>
    </x:row>
    <x:row r="421">
      <x:c r="A421" t="str">
        <x:v>PAG-000420</x:v>
      </x:c>
      <x:c r="B421" t="str">
        <x:v>IMV-0040</x:v>
      </x:c>
      <x:c r="C421" s="38" t="n">
        <x:v>45901</x:v>
      </x:c>
      <x:c r="D421" s="32" t="n">
        <x:v>2400</x:v>
      </x:c>
      <x:c r="E421" s="32" t="n">
        <x:v>2400</x:v>
      </x:c>
      <x:c r="F421" s="36" t="n">
        <x:v>45910</x:v>
      </x:c>
      <x:c r="G421" s="36" t="n">
        <x:v>45945</x:v>
      </x:c>
      <x:c r="H421" t="n">
        <x:v>35</x:v>
      </x:c>
      <x:c r="I421" t="str">
        <x:v>Pago em atraso</x:v>
      </x:c>
    </x:row>
    <x:row r="422">
      <x:c r="A422" t="str">
        <x:v>PAG-000421</x:v>
      </x:c>
      <x:c r="B422" t="str">
        <x:v>IMV-0041</x:v>
      </x:c>
      <x:c r="C422" s="38" t="n">
        <x:v>46235</x:v>
      </x:c>
      <x:c r="D422" s="32" t="n">
        <x:v>2700</x:v>
      </x:c>
      <x:c r="E422" s="32" t="n">
        <x:v>2700</x:v>
      </x:c>
      <x:c r="F422" s="36" t="n">
        <x:v>46244</x:v>
      </x:c>
      <x:c r="G422" s="36" t="n">
        <x:v>46244</x:v>
      </x:c>
      <x:c r="H422" t="n">
        <x:v>0</x:v>
      </x:c>
      <x:c r="I422" t="str">
        <x:v>Pago em dia</x:v>
      </x:c>
    </x:row>
    <x:row r="423">
      <x:c r="A423" t="str">
        <x:v>PAG-000422</x:v>
      </x:c>
      <x:c r="B423" t="str">
        <x:v>IMV-0041</x:v>
      </x:c>
      <x:c r="C423" s="38" t="n">
        <x:v>46204</x:v>
      </x:c>
      <x:c r="D423" s="32" t="n">
        <x:v>2700</x:v>
      </x:c>
      <x:c r="E423" s="32" t="n">
        <x:v>2700</x:v>
      </x:c>
      <x:c r="F423" s="36" t="n">
        <x:v>46213</x:v>
      </x:c>
      <x:c r="G423" s="36" t="n">
        <x:v>46216</x:v>
      </x:c>
      <x:c r="H423" t="n">
        <x:v>3</x:v>
      </x:c>
      <x:c r="I423" t="str">
        <x:v>Pago em atraso</x:v>
      </x:c>
    </x:row>
    <x:row r="424">
      <x:c r="A424" t="str">
        <x:v>PAG-000423</x:v>
      </x:c>
      <x:c r="B424" t="str">
        <x:v>IMV-0041</x:v>
      </x:c>
      <x:c r="C424" s="38" t="n">
        <x:v>46174</x:v>
      </x:c>
      <x:c r="D424" s="32" t="n">
        <x:v>2700</x:v>
      </x:c>
      <x:c r="E424" s="32" t="n">
        <x:v>2700</x:v>
      </x:c>
      <x:c r="F424" s="36" t="n">
        <x:v>46183</x:v>
      </x:c>
      <x:c r="G424" s="36" t="n">
        <x:v>46183</x:v>
      </x:c>
      <x:c r="H424" t="n">
        <x:v>0</x:v>
      </x:c>
      <x:c r="I424" t="str">
        <x:v>Pago em dia</x:v>
      </x:c>
    </x:row>
    <x:row r="425">
      <x:c r="A425" t="str">
        <x:v>PAG-000424</x:v>
      </x:c>
      <x:c r="B425" t="str">
        <x:v>IMV-0041</x:v>
      </x:c>
      <x:c r="C425" s="38" t="n">
        <x:v>46143</x:v>
      </x:c>
      <x:c r="D425" s="32" t="n">
        <x:v>2700</x:v>
      </x:c>
      <x:c r="E425" s="32" t="n">
        <x:v>2700</x:v>
      </x:c>
      <x:c r="F425" s="36" t="n">
        <x:v>46152</x:v>
      </x:c>
      <x:c r="G425" s="36" t="n">
        <x:v>46153</x:v>
      </x:c>
      <x:c r="H425" t="n">
        <x:v>1</x:v>
      </x:c>
      <x:c r="I425" t="str">
        <x:v>Pago em atraso</x:v>
      </x:c>
    </x:row>
    <x:row r="426">
      <x:c r="A426" t="str">
        <x:v>PAG-000425</x:v>
      </x:c>
      <x:c r="B426" t="str">
        <x:v>IMV-0041</x:v>
      </x:c>
      <x:c r="C426" s="38" t="n">
        <x:v>46113</x:v>
      </x:c>
      <x:c r="D426" s="32" t="n">
        <x:v>2700</x:v>
      </x:c>
      <x:c r="E426" s="32" t="n">
        <x:v>2700</x:v>
      </x:c>
      <x:c r="F426" s="36" t="n">
        <x:v>46122</x:v>
      </x:c>
      <x:c r="G426" s="36" t="n">
        <x:v>46122</x:v>
      </x:c>
      <x:c r="H426" t="n">
        <x:v>0</x:v>
      </x:c>
      <x:c r="I426" t="str">
        <x:v>Pago em dia</x:v>
      </x:c>
    </x:row>
    <x:row r="427">
      <x:c r="A427" t="str">
        <x:v>PAG-000426</x:v>
      </x:c>
      <x:c r="B427" t="str">
        <x:v>IMV-0041</x:v>
      </x:c>
      <x:c r="C427" s="38" t="n">
        <x:v>46082</x:v>
      </x:c>
      <x:c r="D427" s="32" t="n">
        <x:v>2700</x:v>
      </x:c>
      <x:c r="E427" s="32" t="n">
        <x:v>2700</x:v>
      </x:c>
      <x:c r="F427" s="36" t="n">
        <x:v>46091</x:v>
      </x:c>
      <x:c r="G427" s="36" t="n">
        <x:v>46092</x:v>
      </x:c>
      <x:c r="H427" t="n">
        <x:v>1</x:v>
      </x:c>
      <x:c r="I427" t="str">
        <x:v>Pago em atraso</x:v>
      </x:c>
    </x:row>
    <x:row r="428">
      <x:c r="A428" t="str">
        <x:v>PAG-000427</x:v>
      </x:c>
      <x:c r="B428" t="str">
        <x:v>IMV-0041</x:v>
      </x:c>
      <x:c r="C428" s="38" t="n">
        <x:v>46054</x:v>
      </x:c>
      <x:c r="D428" s="32" t="n">
        <x:v>2700</x:v>
      </x:c>
      <x:c r="E428" s="32" t="n">
        <x:v>2700</x:v>
      </x:c>
      <x:c r="F428" s="36" t="n">
        <x:v>46063</x:v>
      </x:c>
      <x:c r="G428" s="36" t="n">
        <x:v>46063</x:v>
      </x:c>
      <x:c r="H428" t="n">
        <x:v>0</x:v>
      </x:c>
      <x:c r="I428" t="str">
        <x:v>Pago em dia</x:v>
      </x:c>
    </x:row>
    <x:row r="429">
      <x:c r="A429" t="str">
        <x:v>PAG-000428</x:v>
      </x:c>
      <x:c r="B429" t="str">
        <x:v>IMV-0041</x:v>
      </x:c>
      <x:c r="C429" s="38" t="n">
        <x:v>46023</x:v>
      </x:c>
      <x:c r="D429" s="32" t="n">
        <x:v>2700</x:v>
      </x:c>
      <x:c r="E429" s="32" t="n">
        <x:v>2700</x:v>
      </x:c>
      <x:c r="F429" s="36" t="n">
        <x:v>46032</x:v>
      </x:c>
      <x:c r="G429" s="36" t="n">
        <x:v>46037</x:v>
      </x:c>
      <x:c r="H429" t="n">
        <x:v>5</x:v>
      </x:c>
      <x:c r="I429" t="str">
        <x:v>Pago em atraso</x:v>
      </x:c>
    </x:row>
    <x:row r="430">
      <x:c r="A430" t="str">
        <x:v>PAG-000429</x:v>
      </x:c>
      <x:c r="B430" t="str">
        <x:v>IMV-0041</x:v>
      </x:c>
      <x:c r="C430" s="38" t="n">
        <x:v>45992</x:v>
      </x:c>
      <x:c r="D430" s="32" t="n">
        <x:v>2700</x:v>
      </x:c>
      <x:c r="E430" s="32" t="n">
        <x:v>2700</x:v>
      </x:c>
      <x:c r="F430" s="36" t="n">
        <x:v>46001</x:v>
      </x:c>
      <x:c r="G430" s="36" t="n">
        <x:v>46001</x:v>
      </x:c>
      <x:c r="H430" t="n">
        <x:v>0</x:v>
      </x:c>
      <x:c r="I430" t="str">
        <x:v>Pago em dia</x:v>
      </x:c>
    </x:row>
    <x:row r="431">
      <x:c r="A431" t="str">
        <x:v>PAG-000430</x:v>
      </x:c>
      <x:c r="B431" t="str">
        <x:v>IMV-0041</x:v>
      </x:c>
      <x:c r="C431" s="38" t="n">
        <x:v>45962</x:v>
      </x:c>
      <x:c r="D431" s="32" t="n">
        <x:v>2700</x:v>
      </x:c>
      <x:c r="E431" s="32" t="n">
        <x:v>2700</x:v>
      </x:c>
      <x:c r="F431" s="36" t="n">
        <x:v>45971</x:v>
      </x:c>
      <x:c r="G431" s="36" t="n">
        <x:v>45973</x:v>
      </x:c>
      <x:c r="H431" t="n">
        <x:v>2</x:v>
      </x:c>
      <x:c r="I431" t="str">
        <x:v>Pago em atraso</x:v>
      </x:c>
    </x:row>
    <x:row r="432">
      <x:c r="A432" t="str">
        <x:v>PAG-000431</x:v>
      </x:c>
      <x:c r="B432" t="str">
        <x:v>IMV-0041</x:v>
      </x:c>
      <x:c r="C432" s="38" t="n">
        <x:v>45931</x:v>
      </x:c>
      <x:c r="D432" s="32" t="n">
        <x:v>2700</x:v>
      </x:c>
      <x:c r="E432" s="32" t="n">
        <x:v>2700</x:v>
      </x:c>
      <x:c r="F432" s="36" t="n">
        <x:v>45940</x:v>
      </x:c>
      <x:c r="G432" s="36" t="n">
        <x:v>45940</x:v>
      </x:c>
      <x:c r="H432" t="n">
        <x:v>0</x:v>
      </x:c>
      <x:c r="I432" t="str">
        <x:v>Pago em dia</x:v>
      </x:c>
    </x:row>
    <x:row r="433">
      <x:c r="A433" t="str">
        <x:v>PAG-000432</x:v>
      </x:c>
      <x:c r="B433" t="str">
        <x:v>IMV-0041</x:v>
      </x:c>
      <x:c r="C433" s="38" t="n">
        <x:v>45901</x:v>
      </x:c>
      <x:c r="D433" s="32" t="n">
        <x:v>2700</x:v>
      </x:c>
      <x:c r="E433" s="32" t="n">
        <x:v>2700</x:v>
      </x:c>
      <x:c r="F433" s="36" t="n">
        <x:v>45910</x:v>
      </x:c>
      <x:c r="G433" s="36" t="n">
        <x:v>45910</x:v>
      </x:c>
      <x:c r="H433" t="n">
        <x:v>0</x:v>
      </x:c>
      <x:c r="I433" t="str">
        <x:v>Pago em dia</x:v>
      </x:c>
    </x:row>
    <x:row r="434">
      <x:c r="A434" t="str">
        <x:v>PAG-000433</x:v>
      </x:c>
      <x:c r="B434" t="str">
        <x:v>IMV-0046</x:v>
      </x:c>
      <x:c r="C434" s="38" t="n">
        <x:v>46235</x:v>
      </x:c>
      <x:c r="D434" s="32" t="n">
        <x:v>4650</x:v>
      </x:c>
      <x:c r="E434" s="32" t="n">
        <x:v>4650</x:v>
      </x:c>
      <x:c r="F434" s="36" t="n">
        <x:v>46244</x:v>
      </x:c>
      <x:c r="G434" s="36" t="n">
        <x:v>46244</x:v>
      </x:c>
      <x:c r="H434" t="n">
        <x:v>0</x:v>
      </x:c>
      <x:c r="I434" t="str">
        <x:v>Pago em dia</x:v>
      </x:c>
    </x:row>
    <x:row r="435">
      <x:c r="A435" t="str">
        <x:v>PAG-000434</x:v>
      </x:c>
      <x:c r="B435" t="str">
        <x:v>IMV-0046</x:v>
      </x:c>
      <x:c r="C435" s="38" t="n">
        <x:v>46204</x:v>
      </x:c>
      <x:c r="D435" s="32" t="n">
        <x:v>4650</x:v>
      </x:c>
      <x:c r="E435" s="32" t="n">
        <x:v>4650</x:v>
      </x:c>
      <x:c r="F435" s="36" t="n">
        <x:v>46213</x:v>
      </x:c>
      <x:c r="G435" s="36" t="n">
        <x:v>46213</x:v>
      </x:c>
      <x:c r="H435" t="n">
        <x:v>0</x:v>
      </x:c>
      <x:c r="I435" t="str">
        <x:v>Pago em dia</x:v>
      </x:c>
    </x:row>
    <x:row r="436">
      <x:c r="A436" t="str">
        <x:v>PAG-000435</x:v>
      </x:c>
      <x:c r="B436" t="str">
        <x:v>IMV-0046</x:v>
      </x:c>
      <x:c r="C436" s="38" t="n">
        <x:v>46174</x:v>
      </x:c>
      <x:c r="D436" s="32" t="n">
        <x:v>4650</x:v>
      </x:c>
      <x:c r="E436" s="32" t="n">
        <x:v>4650</x:v>
      </x:c>
      <x:c r="F436" s="36" t="n">
        <x:v>46183</x:v>
      </x:c>
      <x:c r="G436" s="36" t="n">
        <x:v>46183</x:v>
      </x:c>
      <x:c r="H436" t="n">
        <x:v>0</x:v>
      </x:c>
      <x:c r="I436" t="str">
        <x:v>Pago em dia</x:v>
      </x:c>
    </x:row>
    <x:row r="437">
      <x:c r="A437" t="str">
        <x:v>PAG-000436</x:v>
      </x:c>
      <x:c r="B437" t="str">
        <x:v>IMV-0046</x:v>
      </x:c>
      <x:c r="C437" s="38" t="n">
        <x:v>46143</x:v>
      </x:c>
      <x:c r="D437" s="32" t="n">
        <x:v>4650</x:v>
      </x:c>
      <x:c r="E437" s="32" t="n">
        <x:v>4650</x:v>
      </x:c>
      <x:c r="F437" s="36" t="n">
        <x:v>46152</x:v>
      </x:c>
      <x:c r="G437" s="36" t="n">
        <x:v>46153</x:v>
      </x:c>
      <x:c r="H437" t="n">
        <x:v>1</x:v>
      </x:c>
      <x:c r="I437" t="str">
        <x:v>Pago em atraso</x:v>
      </x:c>
    </x:row>
    <x:row r="438">
      <x:c r="A438" t="str">
        <x:v>PAG-000437</x:v>
      </x:c>
      <x:c r="B438" t="str">
        <x:v>IMV-0046</x:v>
      </x:c>
      <x:c r="C438" s="38" t="n">
        <x:v>46113</x:v>
      </x:c>
      <x:c r="D438" s="32" t="n">
        <x:v>4650</x:v>
      </x:c>
      <x:c r="E438" s="32" t="n">
        <x:v>4650</x:v>
      </x:c>
      <x:c r="F438" s="36" t="n">
        <x:v>46122</x:v>
      </x:c>
      <x:c r="G438" s="36" t="n">
        <x:v>46127</x:v>
      </x:c>
      <x:c r="H438" t="n">
        <x:v>5</x:v>
      </x:c>
      <x:c r="I438" t="str">
        <x:v>Pago em atraso</x:v>
      </x:c>
    </x:row>
    <x:row r="439">
      <x:c r="A439" t="str">
        <x:v>PAG-000438</x:v>
      </x:c>
      <x:c r="B439" t="str">
        <x:v>IMV-0046</x:v>
      </x:c>
      <x:c r="C439" s="38" t="n">
        <x:v>46082</x:v>
      </x:c>
      <x:c r="D439" s="32" t="n">
        <x:v>4650</x:v>
      </x:c>
      <x:c r="E439" s="32" t="n">
        <x:v>4650</x:v>
      </x:c>
      <x:c r="F439" s="36" t="n">
        <x:v>46091</x:v>
      </x:c>
      <x:c r="G439" s="36" t="n">
        <x:v>46094</x:v>
      </x:c>
      <x:c r="H439" t="n">
        <x:v>3</x:v>
      </x:c>
      <x:c r="I439" t="str">
        <x:v>Pago em atraso</x:v>
      </x:c>
    </x:row>
    <x:row r="440">
      <x:c r="A440" t="str">
        <x:v>PAG-000439</x:v>
      </x:c>
      <x:c r="B440" t="str">
        <x:v>IMV-0046</x:v>
      </x:c>
      <x:c r="C440" s="38" t="n">
        <x:v>46054</x:v>
      </x:c>
      <x:c r="D440" s="32" t="n">
        <x:v>4650</x:v>
      </x:c>
      <x:c r="E440" s="32" t="n">
        <x:v>4650</x:v>
      </x:c>
      <x:c r="F440" s="36" t="n">
        <x:v>46063</x:v>
      </x:c>
      <x:c r="G440" s="36" t="n">
        <x:v>46068</x:v>
      </x:c>
      <x:c r="H440" t="n">
        <x:v>5</x:v>
      </x:c>
      <x:c r="I440" t="str">
        <x:v>Pago em atraso</x:v>
      </x:c>
    </x:row>
    <x:row r="441">
      <x:c r="A441" t="str">
        <x:v>PAG-000440</x:v>
      </x:c>
      <x:c r="B441" t="str">
        <x:v>IMV-0046</x:v>
      </x:c>
      <x:c r="C441" s="38" t="n">
        <x:v>46023</x:v>
      </x:c>
      <x:c r="D441" s="32" t="n">
        <x:v>4650</x:v>
      </x:c>
      <x:c r="E441" s="32" t="n">
        <x:v>4650</x:v>
      </x:c>
      <x:c r="F441" s="36" t="n">
        <x:v>46032</x:v>
      </x:c>
      <x:c r="G441" s="36" t="n">
        <x:v>46034</x:v>
      </x:c>
      <x:c r="H441" t="n">
        <x:v>2</x:v>
      </x:c>
      <x:c r="I441" t="str">
        <x:v>Pago em atraso</x:v>
      </x:c>
    </x:row>
    <x:row r="442">
      <x:c r="A442" t="str">
        <x:v>PAG-000441</x:v>
      </x:c>
      <x:c r="B442" t="str">
        <x:v>IMV-0046</x:v>
      </x:c>
      <x:c r="C442" s="38" t="n">
        <x:v>45992</x:v>
      </x:c>
      <x:c r="D442" s="32" t="n">
        <x:v>4650</x:v>
      </x:c>
      <x:c r="E442" s="32" t="n">
        <x:v>4650</x:v>
      </x:c>
      <x:c r="F442" s="36" t="n">
        <x:v>46001</x:v>
      </x:c>
      <x:c r="G442" s="36" t="n">
        <x:v>46001</x:v>
      </x:c>
      <x:c r="H442" t="n">
        <x:v>0</x:v>
      </x:c>
      <x:c r="I442" t="str">
        <x:v>Pago em dia</x:v>
      </x:c>
    </x:row>
    <x:row r="443">
      <x:c r="A443" t="str">
        <x:v>PAG-000442</x:v>
      </x:c>
      <x:c r="B443" t="str">
        <x:v>IMV-0046</x:v>
      </x:c>
      <x:c r="C443" s="38" t="n">
        <x:v>45962</x:v>
      </x:c>
      <x:c r="D443" s="32" t="n">
        <x:v>4650</x:v>
      </x:c>
      <x:c r="E443" s="32" t="n">
        <x:v>4650</x:v>
      </x:c>
      <x:c r="F443" s="36" t="n">
        <x:v>45971</x:v>
      </x:c>
      <x:c r="G443" s="36" t="n">
        <x:v>45971</x:v>
      </x:c>
      <x:c r="H443" t="n">
        <x:v>0</x:v>
      </x:c>
      <x:c r="I443" t="str">
        <x:v>Pago em dia</x:v>
      </x:c>
    </x:row>
    <x:row r="444">
      <x:c r="A444" t="str">
        <x:v>PAG-000443</x:v>
      </x:c>
      <x:c r="B444" t="str">
        <x:v>IMV-0046</x:v>
      </x:c>
      <x:c r="C444" s="38" t="n">
        <x:v>45931</x:v>
      </x:c>
      <x:c r="D444" s="32" t="n">
        <x:v>4650</x:v>
      </x:c>
      <x:c r="E444" s="32" t="n">
        <x:v>4650</x:v>
      </x:c>
      <x:c r="F444" s="36" t="n">
        <x:v>45940</x:v>
      </x:c>
      <x:c r="G444" s="36" t="n">
        <x:v>45940</x:v>
      </x:c>
      <x:c r="H444" t="n">
        <x:v>0</x:v>
      </x:c>
      <x:c r="I444" t="str">
        <x:v>Pago em dia</x:v>
      </x:c>
    </x:row>
    <x:row r="445">
      <x:c r="A445" t="str">
        <x:v>PAG-000444</x:v>
      </x:c>
      <x:c r="B445" t="str">
        <x:v>IMV-0046</x:v>
      </x:c>
      <x:c r="C445" s="38" t="n">
        <x:v>45901</x:v>
      </x:c>
      <x:c r="D445" s="32" t="n">
        <x:v>4650</x:v>
      </x:c>
      <x:c r="E445" s="32" t="n">
        <x:v>4650</x:v>
      </x:c>
      <x:c r="F445" s="36" t="n">
        <x:v>45910</x:v>
      </x:c>
      <x:c r="G445" s="36" t="n">
        <x:v>45910</x:v>
      </x:c>
      <x:c r="H445" t="n">
        <x:v>0</x:v>
      </x:c>
      <x:c r="I445" t="str">
        <x:v>Pago em dia</x:v>
      </x:c>
    </x:row>
    <x:row r="446">
      <x:c r="A446" t="str">
        <x:v>PAG-000445</x:v>
      </x:c>
      <x:c r="B446" t="str">
        <x:v>IMV-0047</x:v>
      </x:c>
      <x:c r="C446" s="38" t="n">
        <x:v>46235</x:v>
      </x:c>
      <x:c r="D446" s="32" t="n">
        <x:v>2250</x:v>
      </x:c>
      <x:c r="E446" s="32" t="n">
        <x:v>2250</x:v>
      </x:c>
      <x:c r="F446" s="36" t="n">
        <x:v>46244</x:v>
      </x:c>
      <x:c r="G446" s="36" t="n">
        <x:v>46264</x:v>
      </x:c>
      <x:c r="H446" t="n">
        <x:v>20</x:v>
      </x:c>
      <x:c r="I446" t="str">
        <x:v>Pago em atraso</x:v>
      </x:c>
    </x:row>
    <x:row r="447">
      <x:c r="A447" t="str">
        <x:v>PAG-000446</x:v>
      </x:c>
      <x:c r="B447" t="str">
        <x:v>IMV-0047</x:v>
      </x:c>
      <x:c r="C447" s="38" t="n">
        <x:v>46204</x:v>
      </x:c>
      <x:c r="D447" s="32" t="n">
        <x:v>2250</x:v>
      </x:c>
      <x:c r="E447" s="32" t="n">
        <x:v>2250</x:v>
      </x:c>
      <x:c r="F447" s="36" t="n">
        <x:v>46213</x:v>
      </x:c>
      <x:c r="G447" s="36" t="n">
        <x:v>46248</x:v>
      </x:c>
      <x:c r="H447" t="n">
        <x:v>35</x:v>
      </x:c>
      <x:c r="I447" t="str">
        <x:v>Pago em atraso</x:v>
      </x:c>
    </x:row>
    <x:row r="448">
      <x:c r="A448" t="str">
        <x:v>PAG-000447</x:v>
      </x:c>
      <x:c r="B448" t="str">
        <x:v>IMV-0047</x:v>
      </x:c>
      <x:c r="C448" s="38" t="n">
        <x:v>46174</x:v>
      </x:c>
      <x:c r="D448" s="32" t="n">
        <x:v>2250</x:v>
      </x:c>
      <x:c r="E448" s="32" t="n">
        <x:v>2250</x:v>
      </x:c>
      <x:c r="F448" s="36" t="n">
        <x:v>46183</x:v>
      </x:c>
      <x:c r="G448" s="36" t="n">
        <x:v>46195</x:v>
      </x:c>
      <x:c r="H448" t="n">
        <x:v>12</x:v>
      </x:c>
      <x:c r="I448" t="str">
        <x:v>Pago em atraso</x:v>
      </x:c>
    </x:row>
    <x:row r="449">
      <x:c r="A449" t="str">
        <x:v>PAG-000448</x:v>
      </x:c>
      <x:c r="B449" t="str">
        <x:v>IMV-0047</x:v>
      </x:c>
      <x:c r="C449" s="38" t="n">
        <x:v>46143</x:v>
      </x:c>
      <x:c r="D449" s="32" t="n">
        <x:v>2250</x:v>
      </x:c>
      <x:c r="E449" s="32" t="n">
        <x:v>2250</x:v>
      </x:c>
      <x:c r="F449" s="36" t="n">
        <x:v>46152</x:v>
      </x:c>
      <x:c r="G449" s="36" t="n">
        <x:v>46172</x:v>
      </x:c>
      <x:c r="H449" t="n">
        <x:v>20</x:v>
      </x:c>
      <x:c r="I449" t="str">
        <x:v>Pago em atraso</x:v>
      </x:c>
    </x:row>
    <x:row r="450">
      <x:c r="A450" t="str">
        <x:v>PAG-000449</x:v>
      </x:c>
      <x:c r="B450" t="str">
        <x:v>IMV-0047</x:v>
      </x:c>
      <x:c r="C450" s="38" t="n">
        <x:v>46113</x:v>
      </x:c>
      <x:c r="D450" s="32" t="n">
        <x:v>2250</x:v>
      </x:c>
      <x:c r="E450" s="32" t="n">
        <x:v>2250</x:v>
      </x:c>
      <x:c r="F450" s="36" t="n">
        <x:v>46122</x:v>
      </x:c>
      <x:c r="G450" s="36" t="n">
        <x:v>46157</x:v>
      </x:c>
      <x:c r="H450" t="n">
        <x:v>35</x:v>
      </x:c>
      <x:c r="I450" t="str">
        <x:v>Pago em atraso</x:v>
      </x:c>
    </x:row>
    <x:row r="451">
      <x:c r="A451" t="str">
        <x:v>PAG-000450</x:v>
      </x:c>
      <x:c r="B451" t="str">
        <x:v>IMV-0047</x:v>
      </x:c>
      <x:c r="C451" s="38" t="n">
        <x:v>46082</x:v>
      </x:c>
      <x:c r="D451" s="32" t="n">
        <x:v>2250</x:v>
      </x:c>
      <x:c r="E451" s="32" t="n">
        <x:v>2250</x:v>
      </x:c>
      <x:c r="F451" s="36" t="n">
        <x:v>46091</x:v>
      </x:c>
      <x:c r="G451" s="36" t="n">
        <x:v>46103</x:v>
      </x:c>
      <x:c r="H451" t="n">
        <x:v>12</x:v>
      </x:c>
      <x:c r="I451" t="str">
        <x:v>Pago em atraso</x:v>
      </x:c>
    </x:row>
    <x:row r="452">
      <x:c r="A452" t="str">
        <x:v>PAG-000451</x:v>
      </x:c>
      <x:c r="B452" t="str">
        <x:v>IMV-0047</x:v>
      </x:c>
      <x:c r="C452" s="38" t="n">
        <x:v>46054</x:v>
      </x:c>
      <x:c r="D452" s="32" t="n">
        <x:v>2250</x:v>
      </x:c>
      <x:c r="E452" s="32" t="n">
        <x:v>2250</x:v>
      </x:c>
      <x:c r="F452" s="36" t="n">
        <x:v>46063</x:v>
      </x:c>
      <x:c r="G452" s="36" t="n">
        <x:v>46098</x:v>
      </x:c>
      <x:c r="H452" t="n">
        <x:v>35</x:v>
      </x:c>
      <x:c r="I452" t="str">
        <x:v>Pago em atraso</x:v>
      </x:c>
    </x:row>
    <x:row r="453">
      <x:c r="A453" t="str">
        <x:v>PAG-000452</x:v>
      </x:c>
      <x:c r="B453" t="str">
        <x:v>IMV-0047</x:v>
      </x:c>
      <x:c r="C453" s="38" t="n">
        <x:v>46023</x:v>
      </x:c>
      <x:c r="D453" s="32" t="n">
        <x:v>2250</x:v>
      </x:c>
      <x:c r="E453" s="32" t="n">
        <x:v>2250</x:v>
      </x:c>
      <x:c r="F453" s="36" t="n">
        <x:v>46032</x:v>
      </x:c>
      <x:c r="G453" s="36" t="n">
        <x:v>46052</x:v>
      </x:c>
      <x:c r="H453" t="n">
        <x:v>20</x:v>
      </x:c>
      <x:c r="I453" t="str">
        <x:v>Pago em atraso</x:v>
      </x:c>
    </x:row>
    <x:row r="454">
      <x:c r="A454" t="str">
        <x:v>PAG-000453</x:v>
      </x:c>
      <x:c r="B454" t="str">
        <x:v>IMV-0047</x:v>
      </x:c>
      <x:c r="C454" s="38" t="n">
        <x:v>45992</x:v>
      </x:c>
      <x:c r="D454" s="32" t="n">
        <x:v>2250</x:v>
      </x:c>
      <x:c r="E454" s="32" t="n">
        <x:v>2250</x:v>
      </x:c>
      <x:c r="F454" s="36" t="n">
        <x:v>46001</x:v>
      </x:c>
      <x:c r="G454" s="36" t="n">
        <x:v>46013</x:v>
      </x:c>
      <x:c r="H454" t="n">
        <x:v>12</x:v>
      </x:c>
      <x:c r="I454" t="str">
        <x:v>Pago em atraso</x:v>
      </x:c>
    </x:row>
    <x:row r="455">
      <x:c r="A455" t="str">
        <x:v>PAG-000454</x:v>
      </x:c>
      <x:c r="B455" t="str">
        <x:v>IMV-0047</x:v>
      </x:c>
      <x:c r="C455" s="38" t="n">
        <x:v>45962</x:v>
      </x:c>
      <x:c r="D455" s="32" t="n">
        <x:v>2250</x:v>
      </x:c>
      <x:c r="E455" s="32" t="n">
        <x:v>2250</x:v>
      </x:c>
      <x:c r="F455" s="36" t="n">
        <x:v>45971</x:v>
      </x:c>
      <x:c r="G455" s="36" t="n">
        <x:v>46006</x:v>
      </x:c>
      <x:c r="H455" t="n">
        <x:v>35</x:v>
      </x:c>
      <x:c r="I455" t="str">
        <x:v>Pago em atraso</x:v>
      </x:c>
    </x:row>
    <x:row r="456">
      <x:c r="A456" t="str">
        <x:v>PAG-000455</x:v>
      </x:c>
      <x:c r="B456" t="str">
        <x:v>IMV-0047</x:v>
      </x:c>
      <x:c r="C456" s="38" t="n">
        <x:v>45931</x:v>
      </x:c>
      <x:c r="D456" s="32" t="n">
        <x:v>2250</x:v>
      </x:c>
      <x:c r="E456" s="32" t="n">
        <x:v>2250</x:v>
      </x:c>
      <x:c r="F456" s="36" t="n">
        <x:v>45940</x:v>
      </x:c>
      <x:c r="G456" s="36" t="n">
        <x:v>45952</x:v>
      </x:c>
      <x:c r="H456" t="n">
        <x:v>12</x:v>
      </x:c>
      <x:c r="I456" t="str">
        <x:v>Pago em atraso</x:v>
      </x:c>
    </x:row>
    <x:row r="457">
      <x:c r="A457" t="str">
        <x:v>PAG-000456</x:v>
      </x:c>
      <x:c r="B457" t="str">
        <x:v>IMV-0047</x:v>
      </x:c>
      <x:c r="C457" s="38" t="n">
        <x:v>45901</x:v>
      </x:c>
      <x:c r="D457" s="32" t="n">
        <x:v>2250</x:v>
      </x:c>
      <x:c r="E457" s="32" t="n">
        <x:v>2250</x:v>
      </x:c>
      <x:c r="F457" s="36" t="n">
        <x:v>45910</x:v>
      </x:c>
      <x:c r="G457" s="36" t="n">
        <x:v>45945</x:v>
      </x:c>
      <x:c r="H457" t="n">
        <x:v>35</x:v>
      </x:c>
      <x:c r="I457" t="str">
        <x:v>Pago em atraso</x:v>
      </x:c>
    </x:row>
    <x:row r="458">
      <x:c r="A458" t="str">
        <x:v>PAG-000457</x:v>
      </x:c>
      <x:c r="B458" t="str">
        <x:v>IMV-0049</x:v>
      </x:c>
      <x:c r="C458" s="38" t="n">
        <x:v>46235</x:v>
      </x:c>
      <x:c r="D458" s="32" t="n">
        <x:v>3300</x:v>
      </x:c>
      <x:c r="E458" s="32" t="n">
        <x:v>3300</x:v>
      </x:c>
      <x:c r="F458" s="36" t="n">
        <x:v>46244</x:v>
      </x:c>
      <x:c r="G458" s="36" t="n">
        <x:v>46244</x:v>
      </x:c>
      <x:c r="H458" t="n">
        <x:v>0</x:v>
      </x:c>
      <x:c r="I458" t="str">
        <x:v>Pago em dia</x:v>
      </x:c>
    </x:row>
    <x:row r="459">
      <x:c r="A459" t="str">
        <x:v>PAG-000458</x:v>
      </x:c>
      <x:c r="B459" t="str">
        <x:v>IMV-0049</x:v>
      </x:c>
      <x:c r="C459" s="38" t="n">
        <x:v>46204</x:v>
      </x:c>
      <x:c r="D459" s="32" t="n">
        <x:v>3300</x:v>
      </x:c>
      <x:c r="E459" s="32" t="n">
        <x:v>3300</x:v>
      </x:c>
      <x:c r="F459" s="36" t="n">
        <x:v>46213</x:v>
      </x:c>
      <x:c r="G459" s="36" t="n">
        <x:v>46213</x:v>
      </x:c>
      <x:c r="H459" t="n">
        <x:v>0</x:v>
      </x:c>
      <x:c r="I459" t="str">
        <x:v>Pago em dia</x:v>
      </x:c>
    </x:row>
    <x:row r="460">
      <x:c r="A460" t="str">
        <x:v>PAG-000459</x:v>
      </x:c>
      <x:c r="B460" t="str">
        <x:v>IMV-0049</x:v>
      </x:c>
      <x:c r="C460" s="38" t="n">
        <x:v>46174</x:v>
      </x:c>
      <x:c r="D460" s="32" t="n">
        <x:v>3300</x:v>
      </x:c>
      <x:c r="E460" s="32" t="n">
        <x:v>3300</x:v>
      </x:c>
      <x:c r="F460" s="36" t="n">
        <x:v>46183</x:v>
      </x:c>
      <x:c r="G460" s="36" t="n">
        <x:v>46186</x:v>
      </x:c>
      <x:c r="H460" t="n">
        <x:v>3</x:v>
      </x:c>
      <x:c r="I460" t="str">
        <x:v>Pago em atraso</x:v>
      </x:c>
    </x:row>
    <x:row r="461">
      <x:c r="A461" t="str">
        <x:v>PAG-000460</x:v>
      </x:c>
      <x:c r="B461" t="str">
        <x:v>IMV-0049</x:v>
      </x:c>
      <x:c r="C461" s="38" t="n">
        <x:v>46143</x:v>
      </x:c>
      <x:c r="D461" s="32" t="n">
        <x:v>3300</x:v>
      </x:c>
      <x:c r="E461" s="32" t="n">
        <x:v>3300</x:v>
      </x:c>
      <x:c r="F461" s="36" t="n">
        <x:v>46152</x:v>
      </x:c>
      <x:c r="G461" s="36" t="n">
        <x:v>46152</x:v>
      </x:c>
      <x:c r="H461" t="n">
        <x:v>0</x:v>
      </x:c>
      <x:c r="I461" t="str">
        <x:v>Pago em dia</x:v>
      </x:c>
    </x:row>
    <x:row r="462">
      <x:c r="A462" t="str">
        <x:v>PAG-000461</x:v>
      </x:c>
      <x:c r="B462" t="str">
        <x:v>IMV-0049</x:v>
      </x:c>
      <x:c r="C462" s="38" t="n">
        <x:v>46113</x:v>
      </x:c>
      <x:c r="D462" s="32" t="n">
        <x:v>3300</x:v>
      </x:c>
      <x:c r="E462" s="32" t="n">
        <x:v>3300</x:v>
      </x:c>
      <x:c r="F462" s="36" t="n">
        <x:v>46122</x:v>
      </x:c>
      <x:c r="G462" s="36" t="n">
        <x:v>46124</x:v>
      </x:c>
      <x:c r="H462" t="n">
        <x:v>2</x:v>
      </x:c>
      <x:c r="I462" t="str">
        <x:v>Pago em atraso</x:v>
      </x:c>
    </x:row>
    <x:row r="463">
      <x:c r="A463" t="str">
        <x:v>PAG-000462</x:v>
      </x:c>
      <x:c r="B463" t="str">
        <x:v>IMV-0049</x:v>
      </x:c>
      <x:c r="C463" s="38" t="n">
        <x:v>46082</x:v>
      </x:c>
      <x:c r="D463" s="32" t="n">
        <x:v>3300</x:v>
      </x:c>
      <x:c r="E463" s="32" t="n">
        <x:v>3300</x:v>
      </x:c>
      <x:c r="F463" s="36" t="n">
        <x:v>46091</x:v>
      </x:c>
      <x:c r="G463" s="36" t="n">
        <x:v>46091</x:v>
      </x:c>
      <x:c r="H463" t="n">
        <x:v>0</x:v>
      </x:c>
      <x:c r="I463" t="str">
        <x:v>Pago em dia</x:v>
      </x:c>
    </x:row>
    <x:row r="464">
      <x:c r="A464" t="str">
        <x:v>PAG-000463</x:v>
      </x:c>
      <x:c r="B464" t="str">
        <x:v>IMV-0049</x:v>
      </x:c>
      <x:c r="C464" s="38" t="n">
        <x:v>46054</x:v>
      </x:c>
      <x:c r="D464" s="32" t="n">
        <x:v>3300</x:v>
      </x:c>
      <x:c r="E464" s="32" t="n">
        <x:v>3300</x:v>
      </x:c>
      <x:c r="F464" s="36" t="n">
        <x:v>46063</x:v>
      </x:c>
      <x:c r="G464" s="36" t="n">
        <x:v>46065</x:v>
      </x:c>
      <x:c r="H464" t="n">
        <x:v>2</x:v>
      </x:c>
      <x:c r="I464" t="str">
        <x:v>Pago em atraso</x:v>
      </x:c>
    </x:row>
    <x:row r="465">
      <x:c r="A465" t="str">
        <x:v>PAG-000464</x:v>
      </x:c>
      <x:c r="B465" t="str">
        <x:v>IMV-0049</x:v>
      </x:c>
      <x:c r="C465" s="38" t="n">
        <x:v>46023</x:v>
      </x:c>
      <x:c r="D465" s="32" t="n">
        <x:v>3300</x:v>
      </x:c>
      <x:c r="E465" s="32" t="n">
        <x:v>3300</x:v>
      </x:c>
      <x:c r="F465" s="36" t="n">
        <x:v>46032</x:v>
      </x:c>
      <x:c r="G465" s="36" t="n">
        <x:v>46037</x:v>
      </x:c>
      <x:c r="H465" t="n">
        <x:v>5</x:v>
      </x:c>
      <x:c r="I465" t="str">
        <x:v>Pago em atraso</x:v>
      </x:c>
    </x:row>
    <x:row r="466">
      <x:c r="A466" t="str">
        <x:v>PAG-000465</x:v>
      </x:c>
      <x:c r="B466" t="str">
        <x:v>IMV-0049</x:v>
      </x:c>
      <x:c r="C466" s="38" t="n">
        <x:v>45992</x:v>
      </x:c>
      <x:c r="D466" s="32" t="n">
        <x:v>3300</x:v>
      </x:c>
      <x:c r="E466" s="32" t="n">
        <x:v>3300</x:v>
      </x:c>
      <x:c r="F466" s="36" t="n">
        <x:v>46001</x:v>
      </x:c>
      <x:c r="G466" s="36" t="n">
        <x:v>46002</x:v>
      </x:c>
      <x:c r="H466" t="n">
        <x:v>1</x:v>
      </x:c>
      <x:c r="I466" t="str">
        <x:v>Pago em atraso</x:v>
      </x:c>
    </x:row>
    <x:row r="467">
      <x:c r="A467" t="str">
        <x:v>PAG-000466</x:v>
      </x:c>
      <x:c r="B467" t="str">
        <x:v>IMV-0049</x:v>
      </x:c>
      <x:c r="C467" s="38" t="n">
        <x:v>45962</x:v>
      </x:c>
      <x:c r="D467" s="32" t="n">
        <x:v>3300</x:v>
      </x:c>
      <x:c r="E467" s="32" t="n">
        <x:v>3300</x:v>
      </x:c>
      <x:c r="F467" s="36" t="n">
        <x:v>45971</x:v>
      </x:c>
      <x:c r="G467" s="36" t="n">
        <x:v>45976</x:v>
      </x:c>
      <x:c r="H467" t="n">
        <x:v>5</x:v>
      </x:c>
      <x:c r="I467" t="str">
        <x:v>Pago em atraso</x:v>
      </x:c>
    </x:row>
    <x:row r="468">
      <x:c r="A468" t="str">
        <x:v>PAG-000467</x:v>
      </x:c>
      <x:c r="B468" t="str">
        <x:v>IMV-0049</x:v>
      </x:c>
      <x:c r="C468" s="38" t="n">
        <x:v>45931</x:v>
      </x:c>
      <x:c r="D468" s="32" t="n">
        <x:v>3300</x:v>
      </x:c>
      <x:c r="E468" s="32" t="n">
        <x:v>3300</x:v>
      </x:c>
      <x:c r="F468" s="36" t="n">
        <x:v>45940</x:v>
      </x:c>
      <x:c r="G468" s="36" t="n">
        <x:v>45940</x:v>
      </x:c>
      <x:c r="H468" t="n">
        <x:v>0</x:v>
      </x:c>
      <x:c r="I468" t="str">
        <x:v>Pago em dia</x:v>
      </x:c>
    </x:row>
    <x:row r="469">
      <x:c r="A469" t="str">
        <x:v>PAG-000468</x:v>
      </x:c>
      <x:c r="B469" t="str">
        <x:v>IMV-0049</x:v>
      </x:c>
      <x:c r="C469" s="38" t="n">
        <x:v>45901</x:v>
      </x:c>
      <x:c r="D469" s="32" t="n">
        <x:v>3300</x:v>
      </x:c>
      <x:c r="E469" s="32" t="n">
        <x:v>3300</x:v>
      </x:c>
      <x:c r="F469" s="36" t="n">
        <x:v>45910</x:v>
      </x:c>
      <x:c r="G469" s="36" t="n">
        <x:v>45912</x:v>
      </x:c>
      <x:c r="H469" t="n">
        <x:v>2</x:v>
      </x:c>
      <x:c r="I469" t="str">
        <x:v>Pago em atraso</x:v>
      </x:c>
    </x:row>
    <x:row r="470">
      <x:c r="A470" t="str">
        <x:v>PAG-000469</x:v>
      </x:c>
      <x:c r="B470" t="str">
        <x:v>IMV-0050</x:v>
      </x:c>
      <x:c r="C470" s="38" t="n">
        <x:v>46235</x:v>
      </x:c>
      <x:c r="D470" s="32" t="n">
        <x:v>4800</x:v>
      </x:c>
      <x:c r="E470" s="32" t="n">
        <x:v>4800</x:v>
      </x:c>
      <x:c r="F470" s="36" t="n">
        <x:v>46244</x:v>
      </x:c>
      <x:c r="G470" s="36" t="n">
        <x:v>46244</x:v>
      </x:c>
      <x:c r="H470" t="n">
        <x:v>0</x:v>
      </x:c>
      <x:c r="I470" t="str">
        <x:v>Pago em dia</x:v>
      </x:c>
    </x:row>
    <x:row r="471">
      <x:c r="A471" t="str">
        <x:v>PAG-000470</x:v>
      </x:c>
      <x:c r="B471" t="str">
        <x:v>IMV-0050</x:v>
      </x:c>
      <x:c r="C471" s="38" t="n">
        <x:v>46204</x:v>
      </x:c>
      <x:c r="D471" s="32" t="n">
        <x:v>4800</x:v>
      </x:c>
      <x:c r="E471" s="32" t="n">
        <x:v>4800</x:v>
      </x:c>
      <x:c r="F471" s="36" t="n">
        <x:v>46213</x:v>
      </x:c>
      <x:c r="G471" s="36" t="n">
        <x:v>46214</x:v>
      </x:c>
      <x:c r="H471" t="n">
        <x:v>1</x:v>
      </x:c>
      <x:c r="I471" t="str">
        <x:v>Pago em atraso</x:v>
      </x:c>
    </x:row>
    <x:row r="472">
      <x:c r="A472" t="str">
        <x:v>PAG-000471</x:v>
      </x:c>
      <x:c r="B472" t="str">
        <x:v>IMV-0050</x:v>
      </x:c>
      <x:c r="C472" s="38" t="n">
        <x:v>46174</x:v>
      </x:c>
      <x:c r="D472" s="32" t="n">
        <x:v>4800</x:v>
      </x:c>
      <x:c r="E472" s="32" t="n">
        <x:v>4800</x:v>
      </x:c>
      <x:c r="F472" s="36" t="n">
        <x:v>46183</x:v>
      </x:c>
      <x:c r="G472" s="36" t="n">
        <x:v>46183</x:v>
      </x:c>
      <x:c r="H472" t="n">
        <x:v>0</x:v>
      </x:c>
      <x:c r="I472" t="str">
        <x:v>Pago em dia</x:v>
      </x:c>
    </x:row>
    <x:row r="473">
      <x:c r="A473" t="str">
        <x:v>PAG-000472</x:v>
      </x:c>
      <x:c r="B473" t="str">
        <x:v>IMV-0050</x:v>
      </x:c>
      <x:c r="C473" s="38" t="n">
        <x:v>46143</x:v>
      </x:c>
      <x:c r="D473" s="32" t="n">
        <x:v>4800</x:v>
      </x:c>
      <x:c r="E473" s="32" t="n">
        <x:v>4800</x:v>
      </x:c>
      <x:c r="F473" s="36" t="n">
        <x:v>46152</x:v>
      </x:c>
      <x:c r="G473" s="36" t="n">
        <x:v>46152</x:v>
      </x:c>
      <x:c r="H473" t="n">
        <x:v>0</x:v>
      </x:c>
      <x:c r="I473" t="str">
        <x:v>Pago em dia</x:v>
      </x:c>
    </x:row>
    <x:row r="474">
      <x:c r="A474" t="str">
        <x:v>PAG-000473</x:v>
      </x:c>
      <x:c r="B474" t="str">
        <x:v>IMV-0050</x:v>
      </x:c>
      <x:c r="C474" s="38" t="n">
        <x:v>46113</x:v>
      </x:c>
      <x:c r="D474" s="32" t="n">
        <x:v>4800</x:v>
      </x:c>
      <x:c r="E474" s="32" t="n">
        <x:v>4800</x:v>
      </x:c>
      <x:c r="F474" s="36" t="n">
        <x:v>46122</x:v>
      </x:c>
      <x:c r="G474" s="36" t="n">
        <x:v>46122</x:v>
      </x:c>
      <x:c r="H474" t="n">
        <x:v>0</x:v>
      </x:c>
      <x:c r="I474" t="str">
        <x:v>Pago em dia</x:v>
      </x:c>
    </x:row>
    <x:row r="475">
      <x:c r="A475" t="str">
        <x:v>PAG-000474</x:v>
      </x:c>
      <x:c r="B475" t="str">
        <x:v>IMV-0050</x:v>
      </x:c>
      <x:c r="C475" s="38" t="n">
        <x:v>46082</x:v>
      </x:c>
      <x:c r="D475" s="32" t="n">
        <x:v>4800</x:v>
      </x:c>
      <x:c r="E475" s="32" t="n">
        <x:v>4800</x:v>
      </x:c>
      <x:c r="F475" s="36" t="n">
        <x:v>46091</x:v>
      </x:c>
      <x:c r="G475" s="36" t="n">
        <x:v>46094</x:v>
      </x:c>
      <x:c r="H475" t="n">
        <x:v>3</x:v>
      </x:c>
      <x:c r="I475" t="str">
        <x:v>Pago em atraso</x:v>
      </x:c>
    </x:row>
    <x:row r="476">
      <x:c r="A476" t="str">
        <x:v>PAG-000475</x:v>
      </x:c>
      <x:c r="B476" t="str">
        <x:v>IMV-0050</x:v>
      </x:c>
      <x:c r="C476" s="38" t="n">
        <x:v>46054</x:v>
      </x:c>
      <x:c r="D476" s="32" t="n">
        <x:v>4800</x:v>
      </x:c>
      <x:c r="E476" s="32" t="n">
        <x:v>4800</x:v>
      </x:c>
      <x:c r="F476" s="36" t="n">
        <x:v>46063</x:v>
      </x:c>
      <x:c r="G476" s="36" t="n">
        <x:v>46063</x:v>
      </x:c>
      <x:c r="H476" t="n">
        <x:v>0</x:v>
      </x:c>
      <x:c r="I476" t="str">
        <x:v>Pago em dia</x:v>
      </x:c>
    </x:row>
    <x:row r="477">
      <x:c r="A477" t="str">
        <x:v>PAG-000476</x:v>
      </x:c>
      <x:c r="B477" t="str">
        <x:v>IMV-0050</x:v>
      </x:c>
      <x:c r="C477" s="38" t="n">
        <x:v>46023</x:v>
      </x:c>
      <x:c r="D477" s="32" t="n">
        <x:v>4800</x:v>
      </x:c>
      <x:c r="E477" s="32" t="n">
        <x:v>4800</x:v>
      </x:c>
      <x:c r="F477" s="36" t="n">
        <x:v>46032</x:v>
      </x:c>
      <x:c r="G477" s="36" t="n">
        <x:v>46034</x:v>
      </x:c>
      <x:c r="H477" t="n">
        <x:v>2</x:v>
      </x:c>
      <x:c r="I477" t="str">
        <x:v>Pago em atraso</x:v>
      </x:c>
    </x:row>
    <x:row r="478">
      <x:c r="A478" t="str">
        <x:v>PAG-000477</x:v>
      </x:c>
      <x:c r="B478" t="str">
        <x:v>IMV-0050</x:v>
      </x:c>
      <x:c r="C478" s="38" t="n">
        <x:v>45992</x:v>
      </x:c>
      <x:c r="D478" s="32" t="n">
        <x:v>4800</x:v>
      </x:c>
      <x:c r="E478" s="32" t="n">
        <x:v>4800</x:v>
      </x:c>
      <x:c r="F478" s="36" t="n">
        <x:v>46001</x:v>
      </x:c>
      <x:c r="G478" s="36" t="n">
        <x:v>46002</x:v>
      </x:c>
      <x:c r="H478" t="n">
        <x:v>1</x:v>
      </x:c>
      <x:c r="I478" t="str">
        <x:v>Pago em atraso</x:v>
      </x:c>
    </x:row>
    <x:row r="479">
      <x:c r="A479" t="str">
        <x:v>PAG-000478</x:v>
      </x:c>
      <x:c r="B479" t="str">
        <x:v>IMV-0050</x:v>
      </x:c>
      <x:c r="C479" s="38" t="n">
        <x:v>45962</x:v>
      </x:c>
      <x:c r="D479" s="32" t="n">
        <x:v>4800</x:v>
      </x:c>
      <x:c r="E479" s="32" t="n">
        <x:v>4800</x:v>
      </x:c>
      <x:c r="F479" s="36" t="n">
        <x:v>45971</x:v>
      </x:c>
      <x:c r="G479" s="36" t="n">
        <x:v>45971</x:v>
      </x:c>
      <x:c r="H479" t="n">
        <x:v>0</x:v>
      </x:c>
      <x:c r="I479" t="str">
        <x:v>Pago em dia</x:v>
      </x:c>
    </x:row>
    <x:row r="480">
      <x:c r="A480" t="str">
        <x:v>PAG-000479</x:v>
      </x:c>
      <x:c r="B480" t="str">
        <x:v>IMV-0050</x:v>
      </x:c>
      <x:c r="C480" s="38" t="n">
        <x:v>45931</x:v>
      </x:c>
      <x:c r="D480" s="32" t="n">
        <x:v>4800</x:v>
      </x:c>
      <x:c r="E480" s="32" t="n">
        <x:v>4800</x:v>
      </x:c>
      <x:c r="F480" s="36" t="n">
        <x:v>45940</x:v>
      </x:c>
      <x:c r="G480" s="36" t="n">
        <x:v>45943</x:v>
      </x:c>
      <x:c r="H480" t="n">
        <x:v>3</x:v>
      </x:c>
      <x:c r="I480" t="str">
        <x:v>Pago em atraso</x:v>
      </x:c>
    </x:row>
    <x:row r="481">
      <x:c r="A481" t="str">
        <x:v>PAG-000480</x:v>
      </x:c>
      <x:c r="B481" t="str">
        <x:v>IMV-0050</x:v>
      </x:c>
      <x:c r="C481" s="38" t="n">
        <x:v>45901</x:v>
      </x:c>
      <x:c r="D481" s="32" t="n">
        <x:v>4800</x:v>
      </x:c>
      <x:c r="E481" s="32" t="n">
        <x:v>4800</x:v>
      </x:c>
      <x:c r="F481" s="36" t="n">
        <x:v>45910</x:v>
      </x:c>
      <x:c r="G481" s="36" t="n">
        <x:v>45910</x:v>
      </x:c>
      <x:c r="H481" t="n">
        <x:v>0</x:v>
      </x:c>
      <x:c r="I481" t="str">
        <x:v>Pago em dia</x:v>
      </x:c>
    </x:row>
    <x:row r="482">
      <x:c r="A482" t="str">
        <x:v>PAG-000481</x:v>
      </x:c>
      <x:c r="B482" t="str">
        <x:v>IMV-0052</x:v>
      </x:c>
      <x:c r="C482" s="38" t="n">
        <x:v>46235</x:v>
      </x:c>
      <x:c r="D482" s="32" t="n">
        <x:v>5000</x:v>
      </x:c>
      <x:c r="E482" s="32" t="n">
        <x:v>5000</x:v>
      </x:c>
      <x:c r="F482" s="36" t="n">
        <x:v>46244</x:v>
      </x:c>
      <x:c r="G482" s="36" t="n">
        <x:v>46245</x:v>
      </x:c>
      <x:c r="H482" t="n">
        <x:v>1</x:v>
      </x:c>
      <x:c r="I482" t="str">
        <x:v>Pago em atraso</x:v>
      </x:c>
    </x:row>
    <x:row r="483">
      <x:c r="A483" t="str">
        <x:v>PAG-000482</x:v>
      </x:c>
      <x:c r="B483" t="str">
        <x:v>IMV-0052</x:v>
      </x:c>
      <x:c r="C483" s="38" t="n">
        <x:v>46204</x:v>
      </x:c>
      <x:c r="D483" s="32" t="n">
        <x:v>5000</x:v>
      </x:c>
      <x:c r="E483" s="32" t="n">
        <x:v>5000</x:v>
      </x:c>
      <x:c r="F483" s="36" t="n">
        <x:v>46213</x:v>
      </x:c>
      <x:c r="G483" s="36" t="n">
        <x:v>46213</x:v>
      </x:c>
      <x:c r="H483" t="n">
        <x:v>0</x:v>
      </x:c>
      <x:c r="I483" t="str">
        <x:v>Pago em dia</x:v>
      </x:c>
    </x:row>
    <x:row r="484">
      <x:c r="A484" t="str">
        <x:v>PAG-000483</x:v>
      </x:c>
      <x:c r="B484" t="str">
        <x:v>IMV-0052</x:v>
      </x:c>
      <x:c r="C484" s="38" t="n">
        <x:v>46174</x:v>
      </x:c>
      <x:c r="D484" s="32" t="n">
        <x:v>5000</x:v>
      </x:c>
      <x:c r="E484" s="32" t="n">
        <x:v>5000</x:v>
      </x:c>
      <x:c r="F484" s="36" t="n">
        <x:v>46183</x:v>
      </x:c>
      <x:c r="G484" s="36" t="n">
        <x:v>46186</x:v>
      </x:c>
      <x:c r="H484" t="n">
        <x:v>3</x:v>
      </x:c>
      <x:c r="I484" t="str">
        <x:v>Pago em atraso</x:v>
      </x:c>
    </x:row>
    <x:row r="485">
      <x:c r="A485" t="str">
        <x:v>PAG-000484</x:v>
      </x:c>
      <x:c r="B485" t="str">
        <x:v>IMV-0052</x:v>
      </x:c>
      <x:c r="C485" s="38" t="n">
        <x:v>46143</x:v>
      </x:c>
      <x:c r="D485" s="32" t="n">
        <x:v>5000</x:v>
      </x:c>
      <x:c r="E485" s="32" t="n">
        <x:v>5000</x:v>
      </x:c>
      <x:c r="F485" s="36" t="n">
        <x:v>46152</x:v>
      </x:c>
      <x:c r="G485" s="36" t="n">
        <x:v>46152</x:v>
      </x:c>
      <x:c r="H485" t="n">
        <x:v>0</x:v>
      </x:c>
      <x:c r="I485" t="str">
        <x:v>Pago em dia</x:v>
      </x:c>
    </x:row>
    <x:row r="486">
      <x:c r="A486" t="str">
        <x:v>PAG-000485</x:v>
      </x:c>
      <x:c r="B486" t="str">
        <x:v>IMV-0052</x:v>
      </x:c>
      <x:c r="C486" s="38" t="n">
        <x:v>46113</x:v>
      </x:c>
      <x:c r="D486" s="32" t="n">
        <x:v>5000</x:v>
      </x:c>
      <x:c r="E486" s="32" t="n">
        <x:v>5000</x:v>
      </x:c>
      <x:c r="F486" s="36" t="n">
        <x:v>46122</x:v>
      </x:c>
      <x:c r="G486" s="36" t="n">
        <x:v>46123</x:v>
      </x:c>
      <x:c r="H486" t="n">
        <x:v>1</x:v>
      </x:c>
      <x:c r="I486" t="str">
        <x:v>Pago em atraso</x:v>
      </x:c>
    </x:row>
    <x:row r="487">
      <x:c r="A487" t="str">
        <x:v>PAG-000486</x:v>
      </x:c>
      <x:c r="B487" t="str">
        <x:v>IMV-0052</x:v>
      </x:c>
      <x:c r="C487" s="38" t="n">
        <x:v>46082</x:v>
      </x:c>
      <x:c r="D487" s="32" t="n">
        <x:v>5000</x:v>
      </x:c>
      <x:c r="E487" s="32" t="n">
        <x:v>5000</x:v>
      </x:c>
      <x:c r="F487" s="36" t="n">
        <x:v>46091</x:v>
      </x:c>
      <x:c r="G487" s="36" t="n">
        <x:v>46094</x:v>
      </x:c>
      <x:c r="H487" t="n">
        <x:v>3</x:v>
      </x:c>
      <x:c r="I487" t="str">
        <x:v>Pago em atraso</x:v>
      </x:c>
    </x:row>
    <x:row r="488">
      <x:c r="A488" t="str">
        <x:v>PAG-000487</x:v>
      </x:c>
      <x:c r="B488" t="str">
        <x:v>IMV-0052</x:v>
      </x:c>
      <x:c r="C488" s="38" t="n">
        <x:v>46054</x:v>
      </x:c>
      <x:c r="D488" s="32" t="n">
        <x:v>5000</x:v>
      </x:c>
      <x:c r="E488" s="32" t="n">
        <x:v>5000</x:v>
      </x:c>
      <x:c r="F488" s="36" t="n">
        <x:v>46063</x:v>
      </x:c>
      <x:c r="G488" s="36" t="n">
        <x:v>46063</x:v>
      </x:c>
      <x:c r="H488" t="n">
        <x:v>0</x:v>
      </x:c>
      <x:c r="I488" t="str">
        <x:v>Pago em dia</x:v>
      </x:c>
    </x:row>
    <x:row r="489">
      <x:c r="A489" t="str">
        <x:v>PAG-000488</x:v>
      </x:c>
      <x:c r="B489" t="str">
        <x:v>IMV-0052</x:v>
      </x:c>
      <x:c r="C489" s="38" t="n">
        <x:v>46023</x:v>
      </x:c>
      <x:c r="D489" s="32" t="n">
        <x:v>5000</x:v>
      </x:c>
      <x:c r="E489" s="32" t="n">
        <x:v>5000</x:v>
      </x:c>
      <x:c r="F489" s="36" t="n">
        <x:v>46032</x:v>
      </x:c>
      <x:c r="G489" s="36" t="n">
        <x:v>46032</x:v>
      </x:c>
      <x:c r="H489" t="n">
        <x:v>0</x:v>
      </x:c>
      <x:c r="I489" t="str">
        <x:v>Pago em dia</x:v>
      </x:c>
    </x:row>
    <x:row r="490">
      <x:c r="A490" t="str">
        <x:v>PAG-000489</x:v>
      </x:c>
      <x:c r="B490" t="str">
        <x:v>IMV-0052</x:v>
      </x:c>
      <x:c r="C490" s="38" t="n">
        <x:v>45992</x:v>
      </x:c>
      <x:c r="D490" s="32" t="n">
        <x:v>5000</x:v>
      </x:c>
      <x:c r="E490" s="32" t="n">
        <x:v>5000</x:v>
      </x:c>
      <x:c r="F490" s="36" t="n">
        <x:v>46001</x:v>
      </x:c>
      <x:c r="G490" s="36" t="n">
        <x:v>46001</x:v>
      </x:c>
      <x:c r="H490" t="n">
        <x:v>0</x:v>
      </x:c>
      <x:c r="I490" t="str">
        <x:v>Pago em dia</x:v>
      </x:c>
    </x:row>
    <x:row r="491">
      <x:c r="A491" t="str">
        <x:v>PAG-000490</x:v>
      </x:c>
      <x:c r="B491" t="str">
        <x:v>IMV-0052</x:v>
      </x:c>
      <x:c r="C491" s="38" t="n">
        <x:v>45962</x:v>
      </x:c>
      <x:c r="D491" s="32" t="n">
        <x:v>5000</x:v>
      </x:c>
      <x:c r="E491" s="32" t="n">
        <x:v>5000</x:v>
      </x:c>
      <x:c r="F491" s="36" t="n">
        <x:v>45971</x:v>
      </x:c>
      <x:c r="G491" s="36" t="n">
        <x:v>45976</x:v>
      </x:c>
      <x:c r="H491" t="n">
        <x:v>5</x:v>
      </x:c>
      <x:c r="I491" t="str">
        <x:v>Pago em atraso</x:v>
      </x:c>
    </x:row>
    <x:row r="492">
      <x:c r="A492" t="str">
        <x:v>PAG-000491</x:v>
      </x:c>
      <x:c r="B492" t="str">
        <x:v>IMV-0052</x:v>
      </x:c>
      <x:c r="C492" s="38" t="n">
        <x:v>45931</x:v>
      </x:c>
      <x:c r="D492" s="32" t="n">
        <x:v>5000</x:v>
      </x:c>
      <x:c r="E492" s="32" t="n">
        <x:v>5000</x:v>
      </x:c>
      <x:c r="F492" s="36" t="n">
        <x:v>45940</x:v>
      </x:c>
      <x:c r="G492" s="36" t="n">
        <x:v>45940</x:v>
      </x:c>
      <x:c r="H492" t="n">
        <x:v>0</x:v>
      </x:c>
      <x:c r="I492" t="str">
        <x:v>Pago em dia</x:v>
      </x:c>
    </x:row>
    <x:row r="493">
      <x:c r="A493" t="str">
        <x:v>PAG-000492</x:v>
      </x:c>
      <x:c r="B493" t="str">
        <x:v>IMV-0052</x:v>
      </x:c>
      <x:c r="C493" s="38" t="n">
        <x:v>45901</x:v>
      </x:c>
      <x:c r="D493" s="32" t="n">
        <x:v>5000</x:v>
      </x:c>
      <x:c r="E493" s="32" t="n">
        <x:v>5000</x:v>
      </x:c>
      <x:c r="F493" s="36" t="n">
        <x:v>45910</x:v>
      </x:c>
      <x:c r="G493" s="36" t="n">
        <x:v>45911</x:v>
      </x:c>
      <x:c r="H493" t="n">
        <x:v>1</x:v>
      </x:c>
      <x:c r="I493" t="str">
        <x:v>Pago em atraso</x:v>
      </x:c>
    </x:row>
    <x:row r="494">
      <x:c r="A494" t="str">
        <x:v>PAG-000493</x:v>
      </x:c>
      <x:c r="B494" t="str">
        <x:v>IMV-0053</x:v>
      </x:c>
      <x:c r="C494" s="38" t="n">
        <x:v>46235</x:v>
      </x:c>
      <x:c r="D494" s="32" t="n">
        <x:v>1800</x:v>
      </x:c>
      <x:c r="E494" s="32" t="n">
        <x:v>1800</x:v>
      </x:c>
      <x:c r="F494" s="36" t="n">
        <x:v>46244</x:v>
      </x:c>
      <x:c r="G494" s="36" t="n">
        <x:v>46251</x:v>
      </x:c>
      <x:c r="H494" t="n">
        <x:v>7</x:v>
      </x:c>
      <x:c r="I494" t="str">
        <x:v>Pago em atraso</x:v>
      </x:c>
    </x:row>
    <x:row r="495">
      <x:c r="A495" t="str">
        <x:v>PAG-000494</x:v>
      </x:c>
      <x:c r="B495" t="str">
        <x:v>IMV-0053</x:v>
      </x:c>
      <x:c r="C495" s="38" t="n">
        <x:v>46204</x:v>
      </x:c>
      <x:c r="D495" s="32" t="n">
        <x:v>1800</x:v>
      </x:c>
      <x:c r="E495" s="32" t="n">
        <x:v>1800</x:v>
      </x:c>
      <x:c r="F495" s="36" t="n">
        <x:v>46213</x:v>
      </x:c>
      <x:c r="G495" s="36" t="n">
        <x:v>46213</x:v>
      </x:c>
      <x:c r="H495" t="n">
        <x:v>0</x:v>
      </x:c>
      <x:c r="I495" t="str">
        <x:v>Pago em dia</x:v>
      </x:c>
    </x:row>
    <x:row r="496">
      <x:c r="A496" t="str">
        <x:v>PAG-000495</x:v>
      </x:c>
      <x:c r="B496" t="str">
        <x:v>IMV-0053</x:v>
      </x:c>
      <x:c r="C496" s="38" t="n">
        <x:v>46174</x:v>
      </x:c>
      <x:c r="D496" s="32" t="n">
        <x:v>1800</x:v>
      </x:c>
      <x:c r="E496" s="32" t="n">
        <x:v>1800</x:v>
      </x:c>
      <x:c r="F496" s="36" t="n">
        <x:v>46183</x:v>
      </x:c>
      <x:c r="G496" s="36" t="n">
        <x:v>46186</x:v>
      </x:c>
      <x:c r="H496" t="n">
        <x:v>3</x:v>
      </x:c>
      <x:c r="I496" t="str">
        <x:v>Pago em atraso</x:v>
      </x:c>
    </x:row>
    <x:row r="497">
      <x:c r="A497" t="str">
        <x:v>PAG-000496</x:v>
      </x:c>
      <x:c r="B497" t="str">
        <x:v>IMV-0053</x:v>
      </x:c>
      <x:c r="C497" s="38" t="n">
        <x:v>46143</x:v>
      </x:c>
      <x:c r="D497" s="32" t="n">
        <x:v>1800</x:v>
      </x:c>
      <x:c r="E497" s="32" t="n">
        <x:v>1800</x:v>
      </x:c>
      <x:c r="F497" s="36" t="n">
        <x:v>46152</x:v>
      </x:c>
      <x:c r="G497" s="36" t="n">
        <x:v>46159</x:v>
      </x:c>
      <x:c r="H497" t="n">
        <x:v>7</x:v>
      </x:c>
      <x:c r="I497" t="str">
        <x:v>Pago em atraso</x:v>
      </x:c>
    </x:row>
    <x:row r="498">
      <x:c r="A498" t="str">
        <x:v>PAG-000497</x:v>
      </x:c>
      <x:c r="B498" t="str">
        <x:v>IMV-0053</x:v>
      </x:c>
      <x:c r="C498" s="38" t="n">
        <x:v>46113</x:v>
      </x:c>
      <x:c r="D498" s="32" t="n">
        <x:v>1800</x:v>
      </x:c>
      <x:c r="E498" s="32" t="n">
        <x:v>1800</x:v>
      </x:c>
      <x:c r="F498" s="36" t="n">
        <x:v>46122</x:v>
      </x:c>
      <x:c r="G498" s="36" t="n">
        <x:v>46122</x:v>
      </x:c>
      <x:c r="H498" t="n">
        <x:v>0</x:v>
      </x:c>
      <x:c r="I498" t="str">
        <x:v>Pago em dia</x:v>
      </x:c>
    </x:row>
    <x:row r="499">
      <x:c r="A499" t="str">
        <x:v>PAG-000498</x:v>
      </x:c>
      <x:c r="B499" t="str">
        <x:v>IMV-0053</x:v>
      </x:c>
      <x:c r="C499" s="38" t="n">
        <x:v>46082</x:v>
      </x:c>
      <x:c r="D499" s="32" t="n">
        <x:v>1800</x:v>
      </x:c>
      <x:c r="E499" s="32" t="n">
        <x:v>1800</x:v>
      </x:c>
      <x:c r="F499" s="36" t="n">
        <x:v>46091</x:v>
      </x:c>
      <x:c r="G499" s="36" t="n">
        <x:v>46111</x:v>
      </x:c>
      <x:c r="H499" t="n">
        <x:v>20</x:v>
      </x:c>
      <x:c r="I499" t="str">
        <x:v>Pago em atraso</x:v>
      </x:c>
    </x:row>
    <x:row r="500">
      <x:c r="A500" t="str">
        <x:v>PAG-000499</x:v>
      </x:c>
      <x:c r="B500" t="str">
        <x:v>IMV-0053</x:v>
      </x:c>
      <x:c r="C500" s="38" t="n">
        <x:v>46054</x:v>
      </x:c>
      <x:c r="D500" s="32" t="n">
        <x:v>1800</x:v>
      </x:c>
      <x:c r="E500" s="32" t="n">
        <x:v>1800</x:v>
      </x:c>
      <x:c r="F500" s="36" t="n">
        <x:v>46063</x:v>
      </x:c>
      <x:c r="G500" s="36" t="n">
        <x:v>46075</x:v>
      </x:c>
      <x:c r="H500" t="n">
        <x:v>12</x:v>
      </x:c>
      <x:c r="I500" t="str">
        <x:v>Pago em atraso</x:v>
      </x:c>
    </x:row>
    <x:row r="501">
      <x:c r="A501" t="str">
        <x:v>PAG-000500</x:v>
      </x:c>
      <x:c r="B501" t="str">
        <x:v>IMV-0053</x:v>
      </x:c>
      <x:c r="C501" s="38" t="n">
        <x:v>46023</x:v>
      </x:c>
      <x:c r="D501" s="32" t="n">
        <x:v>1800</x:v>
      </x:c>
      <x:c r="E501" s="32" t="n">
        <x:v>1800</x:v>
      </x:c>
      <x:c r="F501" s="36" t="n">
        <x:v>46032</x:v>
      </x:c>
      <x:c r="G501" s="36" t="n">
        <x:v>46044</x:v>
      </x:c>
      <x:c r="H501" t="n">
        <x:v>12</x:v>
      </x:c>
      <x:c r="I501" t="str">
        <x:v>Pago em atraso</x:v>
      </x:c>
    </x:row>
    <x:row r="502">
      <x:c r="A502" t="str">
        <x:v>PAG-000501</x:v>
      </x:c>
      <x:c r="B502" t="str">
        <x:v>IMV-0053</x:v>
      </x:c>
      <x:c r="C502" s="38" t="n">
        <x:v>45992</x:v>
      </x:c>
      <x:c r="D502" s="32" t="n">
        <x:v>1800</x:v>
      </x:c>
      <x:c r="E502" s="32" t="n">
        <x:v>1800</x:v>
      </x:c>
      <x:c r="F502" s="36" t="n">
        <x:v>46001</x:v>
      </x:c>
      <x:c r="G502" s="36" t="n">
        <x:v>46013</x:v>
      </x:c>
      <x:c r="H502" t="n">
        <x:v>12</x:v>
      </x:c>
      <x:c r="I502" t="str">
        <x:v>Pago em atraso</x:v>
      </x:c>
    </x:row>
    <x:row r="503">
      <x:c r="A503" t="str">
        <x:v>PAG-000502</x:v>
      </x:c>
      <x:c r="B503" t="str">
        <x:v>IMV-0053</x:v>
      </x:c>
      <x:c r="C503" s="38" t="n">
        <x:v>45962</x:v>
      </x:c>
      <x:c r="D503" s="32" t="n">
        <x:v>1800</x:v>
      </x:c>
      <x:c r="E503" s="32" t="n">
        <x:v>1800</x:v>
      </x:c>
      <x:c r="F503" s="36" t="n">
        <x:v>45971</x:v>
      </x:c>
      <x:c r="G503" s="36" t="n">
        <x:v>45983</x:v>
      </x:c>
      <x:c r="H503" t="n">
        <x:v>12</x:v>
      </x:c>
      <x:c r="I503" t="str">
        <x:v>Pago em atraso</x:v>
      </x:c>
    </x:row>
    <x:row r="504">
      <x:c r="A504" t="str">
        <x:v>PAG-000503</x:v>
      </x:c>
      <x:c r="B504" t="str">
        <x:v>IMV-0053</x:v>
      </x:c>
      <x:c r="C504" s="38" t="n">
        <x:v>45931</x:v>
      </x:c>
      <x:c r="D504" s="32" t="n">
        <x:v>1800</x:v>
      </x:c>
      <x:c r="E504" s="32" t="n">
        <x:v>1800</x:v>
      </x:c>
      <x:c r="F504" s="36" t="n">
        <x:v>45940</x:v>
      </x:c>
      <x:c r="G504" s="36" t="n">
        <x:v>45943</x:v>
      </x:c>
      <x:c r="H504" t="n">
        <x:v>3</x:v>
      </x:c>
      <x:c r="I504" t="str">
        <x:v>Pago em atraso</x:v>
      </x:c>
    </x:row>
    <x:row r="505">
      <x:c r="A505" t="str">
        <x:v>PAG-000504</x:v>
      </x:c>
      <x:c r="B505" t="str">
        <x:v>IMV-0053</x:v>
      </x:c>
      <x:c r="C505" s="38" t="n">
        <x:v>45901</x:v>
      </x:c>
      <x:c r="D505" s="32" t="n">
        <x:v>1800</x:v>
      </x:c>
      <x:c r="E505" s="32" t="n">
        <x:v>1800</x:v>
      </x:c>
      <x:c r="F505" s="36" t="n">
        <x:v>45910</x:v>
      </x:c>
      <x:c r="G505" s="36" t="n">
        <x:v>45917</x:v>
      </x:c>
      <x:c r="H505" t="n">
        <x:v>7</x:v>
      </x:c>
      <x:c r="I505" t="str">
        <x:v>Pago em atraso</x:v>
      </x:c>
    </x:row>
    <x:row r="506">
      <x:c r="A506" t="str">
        <x:v>PAG-000505</x:v>
      </x:c>
      <x:c r="B506" t="str">
        <x:v>IMV-0054</x:v>
      </x:c>
      <x:c r="C506" s="38" t="n">
        <x:v>46235</x:v>
      </x:c>
      <x:c r="D506" s="32" t="n">
        <x:v>6250</x:v>
      </x:c>
      <x:c r="E506" s="32" t="n">
        <x:v>6250</x:v>
      </x:c>
      <x:c r="F506" s="36" t="n">
        <x:v>46244</x:v>
      </x:c>
      <x:c r="G506" s="36" t="n">
        <x:v>46256</x:v>
      </x:c>
      <x:c r="H506" t="n">
        <x:v>12</x:v>
      </x:c>
      <x:c r="I506" t="str">
        <x:v>Pago em atraso</x:v>
      </x:c>
    </x:row>
    <x:row r="507">
      <x:c r="A507" t="str">
        <x:v>PAG-000506</x:v>
      </x:c>
      <x:c r="B507" t="str">
        <x:v>IMV-0054</x:v>
      </x:c>
      <x:c r="C507" s="38" t="n">
        <x:v>46204</x:v>
      </x:c>
      <x:c r="D507" s="32" t="n">
        <x:v>6250</x:v>
      </x:c>
      <x:c r="E507" s="32" t="n">
        <x:v>6250</x:v>
      </x:c>
      <x:c r="F507" s="36" t="n">
        <x:v>46213</x:v>
      </x:c>
      <x:c r="G507" s="36" t="n">
        <x:v>46216</x:v>
      </x:c>
      <x:c r="H507" t="n">
        <x:v>3</x:v>
      </x:c>
      <x:c r="I507" t="str">
        <x:v>Pago em atraso</x:v>
      </x:c>
    </x:row>
    <x:row r="508">
      <x:c r="A508" t="str">
        <x:v>PAG-000507</x:v>
      </x:c>
      <x:c r="B508" t="str">
        <x:v>IMV-0054</x:v>
      </x:c>
      <x:c r="C508" s="38" t="n">
        <x:v>46174</x:v>
      </x:c>
      <x:c r="D508" s="32" t="n">
        <x:v>6250</x:v>
      </x:c>
      <x:c r="E508" s="32" t="n">
        <x:v>6250</x:v>
      </x:c>
      <x:c r="F508" s="36" t="n">
        <x:v>46183</x:v>
      </x:c>
      <x:c r="G508" s="36" t="n">
        <x:v>46183</x:v>
      </x:c>
      <x:c r="H508" t="n">
        <x:v>0</x:v>
      </x:c>
      <x:c r="I508" t="str">
        <x:v>Pago em dia</x:v>
      </x:c>
    </x:row>
    <x:row r="509">
      <x:c r="A509" t="str">
        <x:v>PAG-000508</x:v>
      </x:c>
      <x:c r="B509" t="str">
        <x:v>IMV-0054</x:v>
      </x:c>
      <x:c r="C509" s="38" t="n">
        <x:v>46143</x:v>
      </x:c>
      <x:c r="D509" s="32" t="n">
        <x:v>6250</x:v>
      </x:c>
      <x:c r="E509" s="32" t="n">
        <x:v>6250</x:v>
      </x:c>
      <x:c r="F509" s="36" t="n">
        <x:v>46152</x:v>
      </x:c>
      <x:c r="G509" s="36" t="n">
        <x:v>46159</x:v>
      </x:c>
      <x:c r="H509" t="n">
        <x:v>7</x:v>
      </x:c>
      <x:c r="I509" t="str">
        <x:v>Pago em atraso</x:v>
      </x:c>
    </x:row>
    <x:row r="510">
      <x:c r="A510" t="str">
        <x:v>PAG-000509</x:v>
      </x:c>
      <x:c r="B510" t="str">
        <x:v>IMV-0054</x:v>
      </x:c>
      <x:c r="C510" s="38" t="n">
        <x:v>46113</x:v>
      </x:c>
      <x:c r="D510" s="32" t="n">
        <x:v>6250</x:v>
      </x:c>
      <x:c r="E510" s="32" t="n">
        <x:v>6250</x:v>
      </x:c>
      <x:c r="F510" s="36" t="n">
        <x:v>46122</x:v>
      </x:c>
      <x:c r="G510" s="36" t="n">
        <x:v>46129</x:v>
      </x:c>
      <x:c r="H510" t="n">
        <x:v>7</x:v>
      </x:c>
      <x:c r="I510" t="str">
        <x:v>Pago em atraso</x:v>
      </x:c>
    </x:row>
    <x:row r="511">
      <x:c r="A511" t="str">
        <x:v>PAG-000510</x:v>
      </x:c>
      <x:c r="B511" t="str">
        <x:v>IMV-0054</x:v>
      </x:c>
      <x:c r="C511" s="38" t="n">
        <x:v>46082</x:v>
      </x:c>
      <x:c r="D511" s="32" t="n">
        <x:v>6250</x:v>
      </x:c>
      <x:c r="E511" s="32" t="n">
        <x:v>6250</x:v>
      </x:c>
      <x:c r="F511" s="36" t="n">
        <x:v>46091</x:v>
      </x:c>
      <x:c r="G511" s="36" t="n">
        <x:v>46094</x:v>
      </x:c>
      <x:c r="H511" t="n">
        <x:v>3</x:v>
      </x:c>
      <x:c r="I511" t="str">
        <x:v>Pago em atraso</x:v>
      </x:c>
    </x:row>
    <x:row r="512">
      <x:c r="A512" t="str">
        <x:v>PAG-000511</x:v>
      </x:c>
      <x:c r="B512" t="str">
        <x:v>IMV-0054</x:v>
      </x:c>
      <x:c r="C512" s="38" t="n">
        <x:v>46054</x:v>
      </x:c>
      <x:c r="D512" s="32" t="n">
        <x:v>6250</x:v>
      </x:c>
      <x:c r="E512" s="32" t="n">
        <x:v>6250</x:v>
      </x:c>
      <x:c r="F512" s="36" t="n">
        <x:v>46063</x:v>
      </x:c>
      <x:c r="G512" s="36" t="n">
        <x:v>46063</x:v>
      </x:c>
      <x:c r="H512" t="n">
        <x:v>0</x:v>
      </x:c>
      <x:c r="I512" t="str">
        <x:v>Pago em dia</x:v>
      </x:c>
    </x:row>
    <x:row r="513">
      <x:c r="A513" t="str">
        <x:v>PAG-000512</x:v>
      </x:c>
      <x:c r="B513" t="str">
        <x:v>IMV-0054</x:v>
      </x:c>
      <x:c r="C513" s="38" t="n">
        <x:v>46023</x:v>
      </x:c>
      <x:c r="D513" s="32" t="n">
        <x:v>6250</x:v>
      </x:c>
      <x:c r="E513" s="32" t="n">
        <x:v>6250</x:v>
      </x:c>
      <x:c r="F513" s="36" t="n">
        <x:v>46032</x:v>
      </x:c>
      <x:c r="G513" s="36" t="n">
        <x:v>46035</x:v>
      </x:c>
      <x:c r="H513" t="n">
        <x:v>3</x:v>
      </x:c>
      <x:c r="I513" t="str">
        <x:v>Pago em atraso</x:v>
      </x:c>
    </x:row>
    <x:row r="514">
      <x:c r="A514" t="str">
        <x:v>PAG-000513</x:v>
      </x:c>
      <x:c r="B514" t="str">
        <x:v>IMV-0054</x:v>
      </x:c>
      <x:c r="C514" s="38" t="n">
        <x:v>45992</x:v>
      </x:c>
      <x:c r="D514" s="32" t="n">
        <x:v>6250</x:v>
      </x:c>
      <x:c r="E514" s="32" t="n">
        <x:v>6250</x:v>
      </x:c>
      <x:c r="F514" s="36" t="n">
        <x:v>46001</x:v>
      </x:c>
      <x:c r="G514" s="36" t="n">
        <x:v>46013</x:v>
      </x:c>
      <x:c r="H514" t="n">
        <x:v>12</x:v>
      </x:c>
      <x:c r="I514" t="str">
        <x:v>Pago em atraso</x:v>
      </x:c>
    </x:row>
    <x:row r="515">
      <x:c r="A515" t="str">
        <x:v>PAG-000514</x:v>
      </x:c>
      <x:c r="B515" t="str">
        <x:v>IMV-0054</x:v>
      </x:c>
      <x:c r="C515" s="38" t="n">
        <x:v>45962</x:v>
      </x:c>
      <x:c r="D515" s="32" t="n">
        <x:v>6250</x:v>
      </x:c>
      <x:c r="E515" s="32" t="n">
        <x:v>6250</x:v>
      </x:c>
      <x:c r="F515" s="36" t="n">
        <x:v>45971</x:v>
      </x:c>
      <x:c r="G515" s="36" t="n">
        <x:v>45974</x:v>
      </x:c>
      <x:c r="H515" t="n">
        <x:v>3</x:v>
      </x:c>
      <x:c r="I515" t="str">
        <x:v>Pago em atraso</x:v>
      </x:c>
    </x:row>
    <x:row r="516">
      <x:c r="A516" t="str">
        <x:v>PAG-000515</x:v>
      </x:c>
      <x:c r="B516" t="str">
        <x:v>IMV-0054</x:v>
      </x:c>
      <x:c r="C516" s="38" t="n">
        <x:v>45931</x:v>
      </x:c>
      <x:c r="D516" s="32" t="n">
        <x:v>6250</x:v>
      </x:c>
      <x:c r="E516" s="32" t="n">
        <x:v>6250</x:v>
      </x:c>
      <x:c r="F516" s="36" t="n">
        <x:v>45940</x:v>
      </x:c>
      <x:c r="G516" s="36" t="n">
        <x:v>45943</x:v>
      </x:c>
      <x:c r="H516" t="n">
        <x:v>3</x:v>
      </x:c>
      <x:c r="I516" t="str">
        <x:v>Pago em atraso</x:v>
      </x:c>
    </x:row>
    <x:row r="517">
      <x:c r="A517" t="str">
        <x:v>PAG-000516</x:v>
      </x:c>
      <x:c r="B517" t="str">
        <x:v>IMV-0054</x:v>
      </x:c>
      <x:c r="C517" s="38" t="n">
        <x:v>45901</x:v>
      </x:c>
      <x:c r="D517" s="32" t="n">
        <x:v>6250</x:v>
      </x:c>
      <x:c r="E517" s="32" t="n">
        <x:v>6250</x:v>
      </x:c>
      <x:c r="F517" s="36" t="n">
        <x:v>45910</x:v>
      </x:c>
      <x:c r="G517" s="36" t="n">
        <x:v>45922</x:v>
      </x:c>
      <x:c r="H517" t="n">
        <x:v>12</x:v>
      </x:c>
      <x:c r="I517" t="str">
        <x:v>Pago em atraso</x:v>
      </x:c>
    </x:row>
    <x:row r="518">
      <x:c r="A518" t="str">
        <x:v>PAG-000517</x:v>
      </x:c>
      <x:c r="B518" t="str">
        <x:v>IMV-0055</x:v>
      </x:c>
      <x:c r="C518" s="38" t="n">
        <x:v>46235</x:v>
      </x:c>
      <x:c r="D518" s="32" t="n">
        <x:v>2150</x:v>
      </x:c>
      <x:c r="E518" s="32" t="n">
        <x:v>2150</x:v>
      </x:c>
      <x:c r="F518" s="36" t="n">
        <x:v>46244</x:v>
      </x:c>
      <x:c r="G518" s="36" t="n">
        <x:v>46244</x:v>
      </x:c>
      <x:c r="H518" t="n">
        <x:v>0</x:v>
      </x:c>
      <x:c r="I518" t="str">
        <x:v>Pago em dia</x:v>
      </x:c>
    </x:row>
    <x:row r="519">
      <x:c r="A519" t="str">
        <x:v>PAG-000518</x:v>
      </x:c>
      <x:c r="B519" t="str">
        <x:v>IMV-0055</x:v>
      </x:c>
      <x:c r="C519" s="38" t="n">
        <x:v>46204</x:v>
      </x:c>
      <x:c r="D519" s="32" t="n">
        <x:v>2150</x:v>
      </x:c>
      <x:c r="E519" s="32" t="n">
        <x:v>2150</x:v>
      </x:c>
      <x:c r="F519" s="36" t="n">
        <x:v>46213</x:v>
      </x:c>
      <x:c r="G519" s="36" t="n">
        <x:v>46216</x:v>
      </x:c>
      <x:c r="H519" t="n">
        <x:v>3</x:v>
      </x:c>
      <x:c r="I519" t="str">
        <x:v>Pago em atraso</x:v>
      </x:c>
    </x:row>
    <x:row r="520">
      <x:c r="A520" t="str">
        <x:v>PAG-000519</x:v>
      </x:c>
      <x:c r="B520" t="str">
        <x:v>IMV-0055</x:v>
      </x:c>
      <x:c r="C520" s="38" t="n">
        <x:v>46174</x:v>
      </x:c>
      <x:c r="D520" s="32" t="n">
        <x:v>2150</x:v>
      </x:c>
      <x:c r="E520" s="32" t="n">
        <x:v>2150</x:v>
      </x:c>
      <x:c r="F520" s="36" t="n">
        <x:v>46183</x:v>
      </x:c>
      <x:c r="G520" s="36" t="n">
        <x:v>46195</x:v>
      </x:c>
      <x:c r="H520" t="n">
        <x:v>12</x:v>
      </x:c>
      <x:c r="I520" t="str">
        <x:v>Pago em atraso</x:v>
      </x:c>
    </x:row>
    <x:row r="521">
      <x:c r="A521" t="str">
        <x:v>PAG-000520</x:v>
      </x:c>
      <x:c r="B521" t="str">
        <x:v>IMV-0055</x:v>
      </x:c>
      <x:c r="C521" s="38" t="n">
        <x:v>46143</x:v>
      </x:c>
      <x:c r="D521" s="32" t="n">
        <x:v>2150</x:v>
      </x:c>
      <x:c r="E521" s="32" t="n">
        <x:v>2150</x:v>
      </x:c>
      <x:c r="F521" s="36" t="n">
        <x:v>46152</x:v>
      </x:c>
      <x:c r="G521" s="36" t="n">
        <x:v>46152</x:v>
      </x:c>
      <x:c r="H521" t="n">
        <x:v>0</x:v>
      </x:c>
      <x:c r="I521" t="str">
        <x:v>Pago em dia</x:v>
      </x:c>
    </x:row>
    <x:row r="522">
      <x:c r="A522" t="str">
        <x:v>PAG-000521</x:v>
      </x:c>
      <x:c r="B522" t="str">
        <x:v>IMV-0055</x:v>
      </x:c>
      <x:c r="C522" s="38" t="n">
        <x:v>46113</x:v>
      </x:c>
      <x:c r="D522" s="32" t="n">
        <x:v>2150</x:v>
      </x:c>
      <x:c r="E522" s="32" t="n">
        <x:v>2150</x:v>
      </x:c>
      <x:c r="F522" s="36" t="n">
        <x:v>46122</x:v>
      </x:c>
      <x:c r="G522" s="36" t="n">
        <x:v>46125</x:v>
      </x:c>
      <x:c r="H522" t="n">
        <x:v>3</x:v>
      </x:c>
      <x:c r="I522" t="str">
        <x:v>Pago em atraso</x:v>
      </x:c>
    </x:row>
    <x:row r="523">
      <x:c r="A523" t="str">
        <x:v>PAG-000522</x:v>
      </x:c>
      <x:c r="B523" t="str">
        <x:v>IMV-0055</x:v>
      </x:c>
      <x:c r="C523" s="38" t="n">
        <x:v>46082</x:v>
      </x:c>
      <x:c r="D523" s="32" t="n">
        <x:v>2150</x:v>
      </x:c>
      <x:c r="E523" s="32" t="n">
        <x:v>2150</x:v>
      </x:c>
      <x:c r="F523" s="36" t="n">
        <x:v>46091</x:v>
      </x:c>
      <x:c r="G523" s="36" t="n">
        <x:v>46091</x:v>
      </x:c>
      <x:c r="H523" t="n">
        <x:v>0</x:v>
      </x:c>
      <x:c r="I523" t="str">
        <x:v>Pago em dia</x:v>
      </x:c>
    </x:row>
    <x:row r="524">
      <x:c r="A524" t="str">
        <x:v>PAG-000523</x:v>
      </x:c>
      <x:c r="B524" t="str">
        <x:v>IMV-0055</x:v>
      </x:c>
      <x:c r="C524" s="38" t="n">
        <x:v>46054</x:v>
      </x:c>
      <x:c r="D524" s="32" t="n">
        <x:v>2150</x:v>
      </x:c>
      <x:c r="E524" s="32" t="n">
        <x:v>2150</x:v>
      </x:c>
      <x:c r="F524" s="36" t="n">
        <x:v>46063</x:v>
      </x:c>
      <x:c r="G524" s="36" t="n">
        <x:v>46075</x:v>
      </x:c>
      <x:c r="H524" t="n">
        <x:v>12</x:v>
      </x:c>
      <x:c r="I524" t="str">
        <x:v>Pago em atraso</x:v>
      </x:c>
    </x:row>
    <x:row r="525">
      <x:c r="A525" t="str">
        <x:v>PAG-000524</x:v>
      </x:c>
      <x:c r="B525" t="str">
        <x:v>IMV-0055</x:v>
      </x:c>
      <x:c r="C525" s="38" t="n">
        <x:v>46023</x:v>
      </x:c>
      <x:c r="D525" s="32" t="n">
        <x:v>2150</x:v>
      </x:c>
      <x:c r="E525" s="32" t="n">
        <x:v>2150</x:v>
      </x:c>
      <x:c r="F525" s="36" t="n">
        <x:v>46032</x:v>
      </x:c>
      <x:c r="G525" s="36" t="n">
        <x:v>46032</x:v>
      </x:c>
      <x:c r="H525" t="n">
        <x:v>0</x:v>
      </x:c>
      <x:c r="I525" t="str">
        <x:v>Pago em dia</x:v>
      </x:c>
    </x:row>
    <x:row r="526">
      <x:c r="A526" t="str">
        <x:v>PAG-000525</x:v>
      </x:c>
      <x:c r="B526" t="str">
        <x:v>IMV-0055</x:v>
      </x:c>
      <x:c r="C526" s="38" t="n">
        <x:v>45992</x:v>
      </x:c>
      <x:c r="D526" s="32" t="n">
        <x:v>2150</x:v>
      </x:c>
      <x:c r="E526" s="32" t="n">
        <x:v>2150</x:v>
      </x:c>
      <x:c r="F526" s="36" t="n">
        <x:v>46001</x:v>
      </x:c>
      <x:c r="G526" s="36" t="n">
        <x:v>46004</x:v>
      </x:c>
      <x:c r="H526" t="n">
        <x:v>3</x:v>
      </x:c>
      <x:c r="I526" t="str">
        <x:v>Pago em atraso</x:v>
      </x:c>
    </x:row>
    <x:row r="527">
      <x:c r="A527" t="str">
        <x:v>PAG-000526</x:v>
      </x:c>
      <x:c r="B527" t="str">
        <x:v>IMV-0055</x:v>
      </x:c>
      <x:c r="C527" s="38" t="n">
        <x:v>45962</x:v>
      </x:c>
      <x:c r="D527" s="32" t="n">
        <x:v>2150</x:v>
      </x:c>
      <x:c r="E527" s="32" t="n">
        <x:v>2150</x:v>
      </x:c>
      <x:c r="F527" s="36" t="n">
        <x:v>45971</x:v>
      </x:c>
      <x:c r="G527" s="36" t="n">
        <x:v>45978</x:v>
      </x:c>
      <x:c r="H527" t="n">
        <x:v>7</x:v>
      </x:c>
      <x:c r="I527" t="str">
        <x:v>Pago em atraso</x:v>
      </x:c>
    </x:row>
    <x:row r="528">
      <x:c r="A528" t="str">
        <x:v>PAG-000527</x:v>
      </x:c>
      <x:c r="B528" t="str">
        <x:v>IMV-0055</x:v>
      </x:c>
      <x:c r="C528" s="38" t="n">
        <x:v>45931</x:v>
      </x:c>
      <x:c r="D528" s="32" t="n">
        <x:v>2150</x:v>
      </x:c>
      <x:c r="E528" s="32" t="n">
        <x:v>2150</x:v>
      </x:c>
      <x:c r="F528" s="36" t="n">
        <x:v>45940</x:v>
      </x:c>
      <x:c r="G528" s="36" t="n">
        <x:v>45952</x:v>
      </x:c>
      <x:c r="H528" t="n">
        <x:v>12</x:v>
      </x:c>
      <x:c r="I528" t="str">
        <x:v>Pago em atraso</x:v>
      </x:c>
    </x:row>
    <x:row r="529">
      <x:c r="A529" t="str">
        <x:v>PAG-000528</x:v>
      </x:c>
      <x:c r="B529" t="str">
        <x:v>IMV-0055</x:v>
      </x:c>
      <x:c r="C529" s="38" t="n">
        <x:v>45901</x:v>
      </x:c>
      <x:c r="D529" s="32" t="n">
        <x:v>2150</x:v>
      </x:c>
      <x:c r="E529" s="32" t="n">
        <x:v>2150</x:v>
      </x:c>
      <x:c r="F529" s="36" t="n">
        <x:v>45910</x:v>
      </x:c>
      <x:c r="G529" s="36" t="n">
        <x:v>45922</x:v>
      </x:c>
      <x:c r="H529" t="n">
        <x:v>12</x:v>
      </x:c>
      <x:c r="I529" t="str">
        <x:v>Pago em atraso</x:v>
      </x:c>
    </x:row>
    <x:row r="530">
      <x:c r="A530" t="str">
        <x:v>PAG-000529</x:v>
      </x:c>
      <x:c r="B530" t="str">
        <x:v>IMV-0056</x:v>
      </x:c>
      <x:c r="C530" s="38" t="n">
        <x:v>46235</x:v>
      </x:c>
      <x:c r="D530" s="32" t="n">
        <x:v>4550</x:v>
      </x:c>
      <x:c r="E530" s="32" t="n">
        <x:v>4550</x:v>
      </x:c>
      <x:c r="F530" s="36" t="n">
        <x:v>46244</x:v>
      </x:c>
      <x:c r="G530" s="36" t="n">
        <x:v>46245</x:v>
      </x:c>
      <x:c r="H530" t="n">
        <x:v>1</x:v>
      </x:c>
      <x:c r="I530" t="str">
        <x:v>Pago em atraso</x:v>
      </x:c>
    </x:row>
    <x:row r="531">
      <x:c r="A531" t="str">
        <x:v>PAG-000530</x:v>
      </x:c>
      <x:c r="B531" t="str">
        <x:v>IMV-0056</x:v>
      </x:c>
      <x:c r="C531" s="38" t="n">
        <x:v>46204</x:v>
      </x:c>
      <x:c r="D531" s="32" t="n">
        <x:v>4550</x:v>
      </x:c>
      <x:c r="E531" s="32" t="n">
        <x:v>4550</x:v>
      </x:c>
      <x:c r="F531" s="36" t="n">
        <x:v>46213</x:v>
      </x:c>
      <x:c r="G531" s="36" t="n">
        <x:v>46213</x:v>
      </x:c>
      <x:c r="H531" t="n">
        <x:v>0</x:v>
      </x:c>
      <x:c r="I531" t="str">
        <x:v>Pago em dia</x:v>
      </x:c>
    </x:row>
    <x:row r="532">
      <x:c r="A532" t="str">
        <x:v>PAG-000531</x:v>
      </x:c>
      <x:c r="B532" t="str">
        <x:v>IMV-0056</x:v>
      </x:c>
      <x:c r="C532" s="38" t="n">
        <x:v>46174</x:v>
      </x:c>
      <x:c r="D532" s="32" t="n">
        <x:v>4550</x:v>
      </x:c>
      <x:c r="E532" s="32" t="n">
        <x:v>4550</x:v>
      </x:c>
      <x:c r="F532" s="36" t="n">
        <x:v>46183</x:v>
      </x:c>
      <x:c r="G532" s="36" t="n">
        <x:v>46186</x:v>
      </x:c>
      <x:c r="H532" t="n">
        <x:v>3</x:v>
      </x:c>
      <x:c r="I532" t="str">
        <x:v>Pago em atraso</x:v>
      </x:c>
    </x:row>
    <x:row r="533">
      <x:c r="A533" t="str">
        <x:v>PAG-000532</x:v>
      </x:c>
      <x:c r="B533" t="str">
        <x:v>IMV-0056</x:v>
      </x:c>
      <x:c r="C533" s="38" t="n">
        <x:v>46143</x:v>
      </x:c>
      <x:c r="D533" s="32" t="n">
        <x:v>4550</x:v>
      </x:c>
      <x:c r="E533" s="32" t="n">
        <x:v>4550</x:v>
      </x:c>
      <x:c r="F533" s="36" t="n">
        <x:v>46152</x:v>
      </x:c>
      <x:c r="G533" s="36" t="n">
        <x:v>46152</x:v>
      </x:c>
      <x:c r="H533" t="n">
        <x:v>0</x:v>
      </x:c>
      <x:c r="I533" t="str">
        <x:v>Pago em dia</x:v>
      </x:c>
    </x:row>
    <x:row r="534">
      <x:c r="A534" t="str">
        <x:v>PAG-000533</x:v>
      </x:c>
      <x:c r="B534" t="str">
        <x:v>IMV-0056</x:v>
      </x:c>
      <x:c r="C534" s="38" t="n">
        <x:v>46113</x:v>
      </x:c>
      <x:c r="D534" s="32" t="n">
        <x:v>4550</x:v>
      </x:c>
      <x:c r="E534" s="32" t="n">
        <x:v>4550</x:v>
      </x:c>
      <x:c r="F534" s="36" t="n">
        <x:v>46122</x:v>
      </x:c>
      <x:c r="G534" s="36" t="n">
        <x:v>46125</x:v>
      </x:c>
      <x:c r="H534" t="n">
        <x:v>3</x:v>
      </x:c>
      <x:c r="I534" t="str">
        <x:v>Pago em atraso</x:v>
      </x:c>
    </x:row>
    <x:row r="535">
      <x:c r="A535" t="str">
        <x:v>PAG-000534</x:v>
      </x:c>
      <x:c r="B535" t="str">
        <x:v>IMV-0056</x:v>
      </x:c>
      <x:c r="C535" s="38" t="n">
        <x:v>46082</x:v>
      </x:c>
      <x:c r="D535" s="32" t="n">
        <x:v>4550</x:v>
      </x:c>
      <x:c r="E535" s="32" t="n">
        <x:v>4550</x:v>
      </x:c>
      <x:c r="F535" s="36" t="n">
        <x:v>46091</x:v>
      </x:c>
      <x:c r="G535" s="36" t="n">
        <x:v>46096</x:v>
      </x:c>
      <x:c r="H535" t="n">
        <x:v>5</x:v>
      </x:c>
      <x:c r="I535" t="str">
        <x:v>Pago em atraso</x:v>
      </x:c>
    </x:row>
    <x:row r="536">
      <x:c r="A536" t="str">
        <x:v>PAG-000535</x:v>
      </x:c>
      <x:c r="B536" t="str">
        <x:v>IMV-0056</x:v>
      </x:c>
      <x:c r="C536" s="38" t="n">
        <x:v>46054</x:v>
      </x:c>
      <x:c r="D536" s="32" t="n">
        <x:v>4550</x:v>
      </x:c>
      <x:c r="E536" s="32" t="n">
        <x:v>4550</x:v>
      </x:c>
      <x:c r="F536" s="36" t="n">
        <x:v>46063</x:v>
      </x:c>
      <x:c r="G536" s="36" t="n">
        <x:v>46063</x:v>
      </x:c>
      <x:c r="H536" t="n">
        <x:v>0</x:v>
      </x:c>
      <x:c r="I536" t="str">
        <x:v>Pago em dia</x:v>
      </x:c>
    </x:row>
    <x:row r="537">
      <x:c r="A537" t="str">
        <x:v>PAG-000536</x:v>
      </x:c>
      <x:c r="B537" t="str">
        <x:v>IMV-0056</x:v>
      </x:c>
      <x:c r="C537" s="38" t="n">
        <x:v>46023</x:v>
      </x:c>
      <x:c r="D537" s="32" t="n">
        <x:v>4550</x:v>
      </x:c>
      <x:c r="E537" s="32" t="n">
        <x:v>4550</x:v>
      </x:c>
      <x:c r="F537" s="36" t="n">
        <x:v>46032</x:v>
      </x:c>
      <x:c r="G537" s="36" t="n">
        <x:v>46035</x:v>
      </x:c>
      <x:c r="H537" t="n">
        <x:v>3</x:v>
      </x:c>
      <x:c r="I537" t="str">
        <x:v>Pago em atraso</x:v>
      </x:c>
    </x:row>
    <x:row r="538">
      <x:c r="A538" t="str">
        <x:v>PAG-000537</x:v>
      </x:c>
      <x:c r="B538" t="str">
        <x:v>IMV-0056</x:v>
      </x:c>
      <x:c r="C538" s="38" t="n">
        <x:v>45992</x:v>
      </x:c>
      <x:c r="D538" s="32" t="n">
        <x:v>4550</x:v>
      </x:c>
      <x:c r="E538" s="32" t="n">
        <x:v>4550</x:v>
      </x:c>
      <x:c r="F538" s="36" t="n">
        <x:v>46001</x:v>
      </x:c>
      <x:c r="G538" s="36" t="n">
        <x:v>46001</x:v>
      </x:c>
      <x:c r="H538" t="n">
        <x:v>0</x:v>
      </x:c>
      <x:c r="I538" t="str">
        <x:v>Pago em dia</x:v>
      </x:c>
    </x:row>
    <x:row r="539">
      <x:c r="A539" t="str">
        <x:v>PAG-000538</x:v>
      </x:c>
      <x:c r="B539" t="str">
        <x:v>IMV-0056</x:v>
      </x:c>
      <x:c r="C539" s="38" t="n">
        <x:v>45962</x:v>
      </x:c>
      <x:c r="D539" s="32" t="n">
        <x:v>4550</x:v>
      </x:c>
      <x:c r="E539" s="32" t="n">
        <x:v>4550</x:v>
      </x:c>
      <x:c r="F539" s="36" t="n">
        <x:v>45971</x:v>
      </x:c>
      <x:c r="G539" s="36" t="n">
        <x:v>45971</x:v>
      </x:c>
      <x:c r="H539" t="n">
        <x:v>0</x:v>
      </x:c>
      <x:c r="I539" t="str">
        <x:v>Pago em dia</x:v>
      </x:c>
    </x:row>
    <x:row r="540">
      <x:c r="A540" t="str">
        <x:v>PAG-000539</x:v>
      </x:c>
      <x:c r="B540" t="str">
        <x:v>IMV-0056</x:v>
      </x:c>
      <x:c r="C540" s="38" t="n">
        <x:v>45931</x:v>
      </x:c>
      <x:c r="D540" s="32" t="n">
        <x:v>4550</x:v>
      </x:c>
      <x:c r="E540" s="32" t="n">
        <x:v>4550</x:v>
      </x:c>
      <x:c r="F540" s="36" t="n">
        <x:v>45940</x:v>
      </x:c>
      <x:c r="G540" s="36" t="n">
        <x:v>45940</x:v>
      </x:c>
      <x:c r="H540" t="n">
        <x:v>0</x:v>
      </x:c>
      <x:c r="I540" t="str">
        <x:v>Pago em dia</x:v>
      </x:c>
    </x:row>
    <x:row r="541">
      <x:c r="A541" t="str">
        <x:v>PAG-000540</x:v>
      </x:c>
      <x:c r="B541" t="str">
        <x:v>IMV-0056</x:v>
      </x:c>
      <x:c r="C541" s="38" t="n">
        <x:v>45901</x:v>
      </x:c>
      <x:c r="D541" s="32" t="n">
        <x:v>4550</x:v>
      </x:c>
      <x:c r="E541" s="32" t="n">
        <x:v>4550</x:v>
      </x:c>
      <x:c r="F541" s="36" t="n">
        <x:v>45910</x:v>
      </x:c>
      <x:c r="G541" s="36" t="n">
        <x:v>45915</x:v>
      </x:c>
      <x:c r="H541" t="n">
        <x:v>5</x:v>
      </x:c>
      <x:c r="I541" t="str">
        <x:v>Pago em atraso</x:v>
      </x:c>
    </x:row>
    <x:row r="542">
      <x:c r="A542" t="str">
        <x:v>PAG-000541</x:v>
      </x:c>
      <x:c r="B542" t="str">
        <x:v>IMV-0057</x:v>
      </x:c>
      <x:c r="C542" s="38" t="n">
        <x:v>46235</x:v>
      </x:c>
      <x:c r="D542" s="32" t="n">
        <x:v>1200</x:v>
      </x:c>
      <x:c r="E542" s="32" t="n">
        <x:v>1200</x:v>
      </x:c>
      <x:c r="F542" s="36" t="n">
        <x:v>46244</x:v>
      </x:c>
      <x:c r="G542" s="36" t="n">
        <x:v>46245</x:v>
      </x:c>
      <x:c r="H542" t="n">
        <x:v>1</x:v>
      </x:c>
      <x:c r="I542" t="str">
        <x:v>Pago em atraso</x:v>
      </x:c>
    </x:row>
    <x:row r="543">
      <x:c r="A543" t="str">
        <x:v>PAG-000542</x:v>
      </x:c>
      <x:c r="B543" t="str">
        <x:v>IMV-0057</x:v>
      </x:c>
      <x:c r="C543" s="38" t="n">
        <x:v>46204</x:v>
      </x:c>
      <x:c r="D543" s="32" t="n">
        <x:v>1200</x:v>
      </x:c>
      <x:c r="E543" s="32" t="n">
        <x:v>1200</x:v>
      </x:c>
      <x:c r="F543" s="36" t="n">
        <x:v>46213</x:v>
      </x:c>
      <x:c r="G543" s="36" t="n">
        <x:v>46213</x:v>
      </x:c>
      <x:c r="H543" t="n">
        <x:v>0</x:v>
      </x:c>
      <x:c r="I543" t="str">
        <x:v>Pago em dia</x:v>
      </x:c>
    </x:row>
    <x:row r="544">
      <x:c r="A544" t="str">
        <x:v>PAG-000543</x:v>
      </x:c>
      <x:c r="B544" t="str">
        <x:v>IMV-0057</x:v>
      </x:c>
      <x:c r="C544" s="38" t="n">
        <x:v>46174</x:v>
      </x:c>
      <x:c r="D544" s="32" t="n">
        <x:v>1200</x:v>
      </x:c>
      <x:c r="E544" s="32" t="n">
        <x:v>1200</x:v>
      </x:c>
      <x:c r="F544" s="36" t="n">
        <x:v>46183</x:v>
      </x:c>
      <x:c r="G544" s="36" t="n">
        <x:v>46183</x:v>
      </x:c>
      <x:c r="H544" t="n">
        <x:v>0</x:v>
      </x:c>
      <x:c r="I544" t="str">
        <x:v>Pago em dia</x:v>
      </x:c>
    </x:row>
    <x:row r="545">
      <x:c r="A545" t="str">
        <x:v>PAG-000544</x:v>
      </x:c>
      <x:c r="B545" t="str">
        <x:v>IMV-0057</x:v>
      </x:c>
      <x:c r="C545" s="38" t="n">
        <x:v>46143</x:v>
      </x:c>
      <x:c r="D545" s="32" t="n">
        <x:v>1200</x:v>
      </x:c>
      <x:c r="E545" s="32" t="n">
        <x:v>1200</x:v>
      </x:c>
      <x:c r="F545" s="36" t="n">
        <x:v>46152</x:v>
      </x:c>
      <x:c r="G545" s="36" t="n">
        <x:v>46152</x:v>
      </x:c>
      <x:c r="H545" t="n">
        <x:v>0</x:v>
      </x:c>
      <x:c r="I545" t="str">
        <x:v>Pago em dia</x:v>
      </x:c>
    </x:row>
    <x:row r="546">
      <x:c r="A546" t="str">
        <x:v>PAG-000545</x:v>
      </x:c>
      <x:c r="B546" t="str">
        <x:v>IMV-0057</x:v>
      </x:c>
      <x:c r="C546" s="38" t="n">
        <x:v>46113</x:v>
      </x:c>
      <x:c r="D546" s="32" t="n">
        <x:v>1200</x:v>
      </x:c>
      <x:c r="E546" s="32" t="n">
        <x:v>1200</x:v>
      </x:c>
      <x:c r="F546" s="36" t="n">
        <x:v>46122</x:v>
      </x:c>
      <x:c r="G546" s="36" t="n">
        <x:v>46122</x:v>
      </x:c>
      <x:c r="H546" t="n">
        <x:v>0</x:v>
      </x:c>
      <x:c r="I546" t="str">
        <x:v>Pago em dia</x:v>
      </x:c>
    </x:row>
    <x:row r="547">
      <x:c r="A547" t="str">
        <x:v>PAG-000546</x:v>
      </x:c>
      <x:c r="B547" t="str">
        <x:v>IMV-0057</x:v>
      </x:c>
      <x:c r="C547" s="38" t="n">
        <x:v>46082</x:v>
      </x:c>
      <x:c r="D547" s="32" t="n">
        <x:v>1200</x:v>
      </x:c>
      <x:c r="E547" s="32" t="n">
        <x:v>1200</x:v>
      </x:c>
      <x:c r="F547" s="36" t="n">
        <x:v>46091</x:v>
      </x:c>
      <x:c r="G547" s="36" t="n">
        <x:v>46091</x:v>
      </x:c>
      <x:c r="H547" t="n">
        <x:v>0</x:v>
      </x:c>
      <x:c r="I547" t="str">
        <x:v>Pago em dia</x:v>
      </x:c>
    </x:row>
    <x:row r="548">
      <x:c r="A548" t="str">
        <x:v>PAG-000547</x:v>
      </x:c>
      <x:c r="B548" t="str">
        <x:v>IMV-0057</x:v>
      </x:c>
      <x:c r="C548" s="38" t="n">
        <x:v>46054</x:v>
      </x:c>
      <x:c r="D548" s="32" t="n">
        <x:v>1200</x:v>
      </x:c>
      <x:c r="E548" s="32" t="n">
        <x:v>1200</x:v>
      </x:c>
      <x:c r="F548" s="36" t="n">
        <x:v>46063</x:v>
      </x:c>
      <x:c r="G548" s="36" t="n">
        <x:v>46066</x:v>
      </x:c>
      <x:c r="H548" t="n">
        <x:v>3</x:v>
      </x:c>
      <x:c r="I548" t="str">
        <x:v>Pago em atraso</x:v>
      </x:c>
    </x:row>
    <x:row r="549">
      <x:c r="A549" t="str">
        <x:v>PAG-000548</x:v>
      </x:c>
      <x:c r="B549" t="str">
        <x:v>IMV-0057</x:v>
      </x:c>
      <x:c r="C549" s="38" t="n">
        <x:v>46023</x:v>
      </x:c>
      <x:c r="D549" s="32" t="n">
        <x:v>1200</x:v>
      </x:c>
      <x:c r="E549" s="32" t="n">
        <x:v>1200</x:v>
      </x:c>
      <x:c r="F549" s="36" t="n">
        <x:v>46032</x:v>
      </x:c>
      <x:c r="G549" s="36" t="n">
        <x:v>46033</x:v>
      </x:c>
      <x:c r="H549" t="n">
        <x:v>1</x:v>
      </x:c>
      <x:c r="I549" t="str">
        <x:v>Pago em atraso</x:v>
      </x:c>
    </x:row>
    <x:row r="550">
      <x:c r="A550" t="str">
        <x:v>PAG-000549</x:v>
      </x:c>
      <x:c r="B550" t="str">
        <x:v>IMV-0057</x:v>
      </x:c>
      <x:c r="C550" s="38" t="n">
        <x:v>45992</x:v>
      </x:c>
      <x:c r="D550" s="32" t="n">
        <x:v>1200</x:v>
      </x:c>
      <x:c r="E550" s="32" t="n">
        <x:v>1200</x:v>
      </x:c>
      <x:c r="F550" s="36" t="n">
        <x:v>46001</x:v>
      </x:c>
      <x:c r="G550" s="36" t="n">
        <x:v>46006</x:v>
      </x:c>
      <x:c r="H550" t="n">
        <x:v>5</x:v>
      </x:c>
      <x:c r="I550" t="str">
        <x:v>Pago em atraso</x:v>
      </x:c>
    </x:row>
    <x:row r="551">
      <x:c r="A551" t="str">
        <x:v>PAG-000550</x:v>
      </x:c>
      <x:c r="B551" t="str">
        <x:v>IMV-0057</x:v>
      </x:c>
      <x:c r="C551" s="38" t="n">
        <x:v>45962</x:v>
      </x:c>
      <x:c r="D551" s="32" t="n">
        <x:v>1200</x:v>
      </x:c>
      <x:c r="E551" s="32" t="n">
        <x:v>1200</x:v>
      </x:c>
      <x:c r="F551" s="36" t="n">
        <x:v>45971</x:v>
      </x:c>
      <x:c r="G551" s="36" t="n">
        <x:v>45971</x:v>
      </x:c>
      <x:c r="H551" t="n">
        <x:v>0</x:v>
      </x:c>
      <x:c r="I551" t="str">
        <x:v>Pago em dia</x:v>
      </x:c>
    </x:row>
    <x:row r="552">
      <x:c r="A552" t="str">
        <x:v>PAG-000551</x:v>
      </x:c>
      <x:c r="B552" t="str">
        <x:v>IMV-0057</x:v>
      </x:c>
      <x:c r="C552" s="38" t="n">
        <x:v>45931</x:v>
      </x:c>
      <x:c r="D552" s="32" t="n">
        <x:v>1200</x:v>
      </x:c>
      <x:c r="E552" s="32" t="n">
        <x:v>1200</x:v>
      </x:c>
      <x:c r="F552" s="36" t="n">
        <x:v>45940</x:v>
      </x:c>
      <x:c r="G552" s="36" t="n">
        <x:v>45940</x:v>
      </x:c>
      <x:c r="H552" t="n">
        <x:v>0</x:v>
      </x:c>
      <x:c r="I552" t="str">
        <x:v>Pago em dia</x:v>
      </x:c>
    </x:row>
    <x:row r="553">
      <x:c r="A553" t="str">
        <x:v>PAG-000552</x:v>
      </x:c>
      <x:c r="B553" t="str">
        <x:v>IMV-0057</x:v>
      </x:c>
      <x:c r="C553" s="38" t="n">
        <x:v>45901</x:v>
      </x:c>
      <x:c r="D553" s="32" t="n">
        <x:v>1200</x:v>
      </x:c>
      <x:c r="E553" s="32" t="n">
        <x:v>1200</x:v>
      </x:c>
      <x:c r="F553" s="36" t="n">
        <x:v>45910</x:v>
      </x:c>
      <x:c r="G553" s="36" t="n">
        <x:v>45912</x:v>
      </x:c>
      <x:c r="H553" t="n">
        <x:v>2</x:v>
      </x:c>
      <x:c r="I553" t="str">
        <x:v>Pago em atraso</x:v>
      </x:c>
    </x:row>
    <x:row r="554">
      <x:c r="A554" t="str">
        <x:v>PAG-000553</x:v>
      </x:c>
      <x:c r="B554" t="str">
        <x:v>IMV-0058</x:v>
      </x:c>
      <x:c r="C554" s="38" t="n">
        <x:v>46235</x:v>
      </x:c>
      <x:c r="D554" s="32" t="n">
        <x:v>1300</x:v>
      </x:c>
      <x:c r="E554" s="32" t="n">
        <x:v>1300</x:v>
      </x:c>
      <x:c r="F554" s="36" t="n">
        <x:v>46244</x:v>
      </x:c>
      <x:c r="G554" s="36" t="n">
        <x:v>46244</x:v>
      </x:c>
      <x:c r="H554" t="n">
        <x:v>0</x:v>
      </x:c>
      <x:c r="I554" t="str">
        <x:v>Pago em dia</x:v>
      </x:c>
    </x:row>
    <x:row r="555">
      <x:c r="A555" t="str">
        <x:v>PAG-000554</x:v>
      </x:c>
      <x:c r="B555" t="str">
        <x:v>IMV-0058</x:v>
      </x:c>
      <x:c r="C555" s="38" t="n">
        <x:v>46204</x:v>
      </x:c>
      <x:c r="D555" s="32" t="n">
        <x:v>1300</x:v>
      </x:c>
      <x:c r="E555" s="32" t="n">
        <x:v>1300</x:v>
      </x:c>
      <x:c r="F555" s="36" t="n">
        <x:v>46213</x:v>
      </x:c>
      <x:c r="G555" s="36" t="n">
        <x:v>46215</x:v>
      </x:c>
      <x:c r="H555" t="n">
        <x:v>2</x:v>
      </x:c>
      <x:c r="I555" t="str">
        <x:v>Pago em atraso</x:v>
      </x:c>
    </x:row>
    <x:row r="556">
      <x:c r="A556" t="str">
        <x:v>PAG-000555</x:v>
      </x:c>
      <x:c r="B556" t="str">
        <x:v>IMV-0058</x:v>
      </x:c>
      <x:c r="C556" s="38" t="n">
        <x:v>46174</x:v>
      </x:c>
      <x:c r="D556" s="32" t="n">
        <x:v>1300</x:v>
      </x:c>
      <x:c r="E556" s="32" t="n">
        <x:v>1300</x:v>
      </x:c>
      <x:c r="F556" s="36" t="n">
        <x:v>46183</x:v>
      </x:c>
      <x:c r="G556" s="36" t="n">
        <x:v>46183</x:v>
      </x:c>
      <x:c r="H556" t="n">
        <x:v>0</x:v>
      </x:c>
      <x:c r="I556" t="str">
        <x:v>Pago em dia</x:v>
      </x:c>
    </x:row>
    <x:row r="557">
      <x:c r="A557" t="str">
        <x:v>PAG-000556</x:v>
      </x:c>
      <x:c r="B557" t="str">
        <x:v>IMV-0058</x:v>
      </x:c>
      <x:c r="C557" s="38" t="n">
        <x:v>46143</x:v>
      </x:c>
      <x:c r="D557" s="32" t="n">
        <x:v>1300</x:v>
      </x:c>
      <x:c r="E557" s="32" t="n">
        <x:v>1300</x:v>
      </x:c>
      <x:c r="F557" s="36" t="n">
        <x:v>46152</x:v>
      </x:c>
      <x:c r="G557" s="36" t="n">
        <x:v>46152</x:v>
      </x:c>
      <x:c r="H557" t="n">
        <x:v>0</x:v>
      </x:c>
      <x:c r="I557" t="str">
        <x:v>Pago em dia</x:v>
      </x:c>
    </x:row>
    <x:row r="558">
      <x:c r="A558" t="str">
        <x:v>PAG-000557</x:v>
      </x:c>
      <x:c r="B558" t="str">
        <x:v>IMV-0058</x:v>
      </x:c>
      <x:c r="C558" s="38" t="n">
        <x:v>46113</x:v>
      </x:c>
      <x:c r="D558" s="32" t="n">
        <x:v>1300</x:v>
      </x:c>
      <x:c r="E558" s="32" t="n">
        <x:v>1300</x:v>
      </x:c>
      <x:c r="F558" s="36" t="n">
        <x:v>46122</x:v>
      </x:c>
      <x:c r="G558" s="36" t="n">
        <x:v>46122</x:v>
      </x:c>
      <x:c r="H558" t="n">
        <x:v>0</x:v>
      </x:c>
      <x:c r="I558" t="str">
        <x:v>Pago em dia</x:v>
      </x:c>
    </x:row>
    <x:row r="559">
      <x:c r="A559" t="str">
        <x:v>PAG-000558</x:v>
      </x:c>
      <x:c r="B559" t="str">
        <x:v>IMV-0058</x:v>
      </x:c>
      <x:c r="C559" s="38" t="n">
        <x:v>46082</x:v>
      </x:c>
      <x:c r="D559" s="32" t="n">
        <x:v>1300</x:v>
      </x:c>
      <x:c r="E559" s="32" t="n">
        <x:v>1300</x:v>
      </x:c>
      <x:c r="F559" s="36" t="n">
        <x:v>46091</x:v>
      </x:c>
      <x:c r="G559" s="36" t="n">
        <x:v>46091</x:v>
      </x:c>
      <x:c r="H559" t="n">
        <x:v>0</x:v>
      </x:c>
      <x:c r="I559" t="str">
        <x:v>Pago em dia</x:v>
      </x:c>
    </x:row>
    <x:row r="560">
      <x:c r="A560" t="str">
        <x:v>PAG-000559</x:v>
      </x:c>
      <x:c r="B560" t="str">
        <x:v>IMV-0058</x:v>
      </x:c>
      <x:c r="C560" s="38" t="n">
        <x:v>46054</x:v>
      </x:c>
      <x:c r="D560" s="32" t="n">
        <x:v>1300</x:v>
      </x:c>
      <x:c r="E560" s="32" t="n">
        <x:v>1300</x:v>
      </x:c>
      <x:c r="F560" s="36" t="n">
        <x:v>46063</x:v>
      </x:c>
      <x:c r="G560" s="36" t="n">
        <x:v>46063</x:v>
      </x:c>
      <x:c r="H560" t="n">
        <x:v>0</x:v>
      </x:c>
      <x:c r="I560" t="str">
        <x:v>Pago em dia</x:v>
      </x:c>
    </x:row>
    <x:row r="561">
      <x:c r="A561" t="str">
        <x:v>PAG-000560</x:v>
      </x:c>
      <x:c r="B561" t="str">
        <x:v>IMV-0058</x:v>
      </x:c>
      <x:c r="C561" s="38" t="n">
        <x:v>46023</x:v>
      </x:c>
      <x:c r="D561" s="32" t="n">
        <x:v>1300</x:v>
      </x:c>
      <x:c r="E561" s="32" t="n">
        <x:v>1300</x:v>
      </x:c>
      <x:c r="F561" s="36" t="n">
        <x:v>46032</x:v>
      </x:c>
      <x:c r="G561" s="36" t="n">
        <x:v>46033</x:v>
      </x:c>
      <x:c r="H561" t="n">
        <x:v>1</x:v>
      </x:c>
      <x:c r="I561" t="str">
        <x:v>Pago em atraso</x:v>
      </x:c>
    </x:row>
    <x:row r="562">
      <x:c r="A562" t="str">
        <x:v>PAG-000561</x:v>
      </x:c>
      <x:c r="B562" t="str">
        <x:v>IMV-0058</x:v>
      </x:c>
      <x:c r="C562" s="38" t="n">
        <x:v>45992</x:v>
      </x:c>
      <x:c r="D562" s="32" t="n">
        <x:v>1300</x:v>
      </x:c>
      <x:c r="E562" s="32" t="n">
        <x:v>1300</x:v>
      </x:c>
      <x:c r="F562" s="36" t="n">
        <x:v>46001</x:v>
      </x:c>
      <x:c r="G562" s="36" t="n">
        <x:v>46004</x:v>
      </x:c>
      <x:c r="H562" t="n">
        <x:v>3</x:v>
      </x:c>
      <x:c r="I562" t="str">
        <x:v>Pago em atraso</x:v>
      </x:c>
    </x:row>
    <x:row r="563">
      <x:c r="A563" t="str">
        <x:v>PAG-000562</x:v>
      </x:c>
      <x:c r="B563" t="str">
        <x:v>IMV-0058</x:v>
      </x:c>
      <x:c r="C563" s="38" t="n">
        <x:v>45962</x:v>
      </x:c>
      <x:c r="D563" s="32" t="n">
        <x:v>1300</x:v>
      </x:c>
      <x:c r="E563" s="32" t="n">
        <x:v>1300</x:v>
      </x:c>
      <x:c r="F563" s="36" t="n">
        <x:v>45971</x:v>
      </x:c>
      <x:c r="G563" s="36" t="n">
        <x:v>45971</x:v>
      </x:c>
      <x:c r="H563" t="n">
        <x:v>0</x:v>
      </x:c>
      <x:c r="I563" t="str">
        <x:v>Pago em dia</x:v>
      </x:c>
    </x:row>
    <x:row r="564">
      <x:c r="A564" t="str">
        <x:v>PAG-000563</x:v>
      </x:c>
      <x:c r="B564" t="str">
        <x:v>IMV-0058</x:v>
      </x:c>
      <x:c r="C564" s="38" t="n">
        <x:v>45931</x:v>
      </x:c>
      <x:c r="D564" s="32" t="n">
        <x:v>1300</x:v>
      </x:c>
      <x:c r="E564" s="32" t="n">
        <x:v>1300</x:v>
      </x:c>
      <x:c r="F564" s="36" t="n">
        <x:v>45940</x:v>
      </x:c>
      <x:c r="G564" s="36" t="n">
        <x:v>45940</x:v>
      </x:c>
      <x:c r="H564" t="n">
        <x:v>0</x:v>
      </x:c>
      <x:c r="I564" t="str">
        <x:v>Pago em dia</x:v>
      </x:c>
    </x:row>
    <x:row r="565">
      <x:c r="A565" t="str">
        <x:v>PAG-000564</x:v>
      </x:c>
      <x:c r="B565" t="str">
        <x:v>IMV-0058</x:v>
      </x:c>
      <x:c r="C565" s="38" t="n">
        <x:v>45901</x:v>
      </x:c>
      <x:c r="D565" s="32" t="n">
        <x:v>1300</x:v>
      </x:c>
      <x:c r="E565" s="32" t="n">
        <x:v>1300</x:v>
      </x:c>
      <x:c r="F565" s="36" t="n">
        <x:v>45910</x:v>
      </x:c>
      <x:c r="G565" s="36" t="n">
        <x:v>45910</x:v>
      </x:c>
      <x:c r="H565" t="n">
        <x:v>0</x:v>
      </x:c>
      <x:c r="I565" t="str">
        <x:v>Pago em dia</x:v>
      </x:c>
    </x:row>
    <x:row r="566">
      <x:c r="A566" t="str">
        <x:v>PAG-000565</x:v>
      </x:c>
      <x:c r="B566" t="str">
        <x:v>IMV-0059</x:v>
      </x:c>
      <x:c r="C566" s="38" t="n">
        <x:v>46235</x:v>
      </x:c>
      <x:c r="D566" s="32" t="n">
        <x:v>5500</x:v>
      </x:c>
      <x:c r="E566" s="32" t="n">
        <x:v>5500</x:v>
      </x:c>
      <x:c r="F566" s="36" t="n">
        <x:v>46244</x:v>
      </x:c>
      <x:c r="G566" s="36" t="n">
        <x:v>46244</x:v>
      </x:c>
      <x:c r="H566" t="n">
        <x:v>0</x:v>
      </x:c>
      <x:c r="I566" t="str">
        <x:v>Pago em dia</x:v>
      </x:c>
    </x:row>
    <x:row r="567">
      <x:c r="A567" t="str">
        <x:v>PAG-000566</x:v>
      </x:c>
      <x:c r="B567" t="str">
        <x:v>IMV-0059</x:v>
      </x:c>
      <x:c r="C567" s="38" t="n">
        <x:v>46204</x:v>
      </x:c>
      <x:c r="D567" s="32" t="n">
        <x:v>5500</x:v>
      </x:c>
      <x:c r="E567" s="32" t="n">
        <x:v>5500</x:v>
      </x:c>
      <x:c r="F567" s="36" t="n">
        <x:v>46213</x:v>
      </x:c>
      <x:c r="G567" s="36" t="n">
        <x:v>46213</x:v>
      </x:c>
      <x:c r="H567" t="n">
        <x:v>0</x:v>
      </x:c>
      <x:c r="I567" t="str">
        <x:v>Pago em dia</x:v>
      </x:c>
    </x:row>
    <x:row r="568">
      <x:c r="A568" t="str">
        <x:v>PAG-000567</x:v>
      </x:c>
      <x:c r="B568" t="str">
        <x:v>IMV-0059</x:v>
      </x:c>
      <x:c r="C568" s="38" t="n">
        <x:v>46174</x:v>
      </x:c>
      <x:c r="D568" s="32" t="n">
        <x:v>5500</x:v>
      </x:c>
      <x:c r="E568" s="32" t="n">
        <x:v>5500</x:v>
      </x:c>
      <x:c r="F568" s="36" t="n">
        <x:v>46183</x:v>
      </x:c>
      <x:c r="G568" s="36" t="n">
        <x:v>46183</x:v>
      </x:c>
      <x:c r="H568" t="n">
        <x:v>0</x:v>
      </x:c>
      <x:c r="I568" t="str">
        <x:v>Pago em dia</x:v>
      </x:c>
    </x:row>
    <x:row r="569">
      <x:c r="A569" t="str">
        <x:v>PAG-000568</x:v>
      </x:c>
      <x:c r="B569" t="str">
        <x:v>IMV-0059</x:v>
      </x:c>
      <x:c r="C569" s="38" t="n">
        <x:v>46143</x:v>
      </x:c>
      <x:c r="D569" s="32" t="n">
        <x:v>5500</x:v>
      </x:c>
      <x:c r="E569" s="32" t="n">
        <x:v>5500</x:v>
      </x:c>
      <x:c r="F569" s="36" t="n">
        <x:v>46152</x:v>
      </x:c>
      <x:c r="G569" s="36" t="n">
        <x:v>46152</x:v>
      </x:c>
      <x:c r="H569" t="n">
        <x:v>0</x:v>
      </x:c>
      <x:c r="I569" t="str">
        <x:v>Pago em dia</x:v>
      </x:c>
    </x:row>
    <x:row r="570">
      <x:c r="A570" t="str">
        <x:v>PAG-000569</x:v>
      </x:c>
      <x:c r="B570" t="str">
        <x:v>IMV-0059</x:v>
      </x:c>
      <x:c r="C570" s="38" t="n">
        <x:v>46113</x:v>
      </x:c>
      <x:c r="D570" s="32" t="n">
        <x:v>5500</x:v>
      </x:c>
      <x:c r="E570" s="32" t="n">
        <x:v>5500</x:v>
      </x:c>
      <x:c r="F570" s="36" t="n">
        <x:v>46122</x:v>
      </x:c>
      <x:c r="G570" s="36" t="n">
        <x:v>46123</x:v>
      </x:c>
      <x:c r="H570" t="n">
        <x:v>1</x:v>
      </x:c>
      <x:c r="I570" t="str">
        <x:v>Pago em atraso</x:v>
      </x:c>
    </x:row>
    <x:row r="571">
      <x:c r="A571" t="str">
        <x:v>PAG-000570</x:v>
      </x:c>
      <x:c r="B571" t="str">
        <x:v>IMV-0059</x:v>
      </x:c>
      <x:c r="C571" s="38" t="n">
        <x:v>46082</x:v>
      </x:c>
      <x:c r="D571" s="32" t="n">
        <x:v>5500</x:v>
      </x:c>
      <x:c r="E571" s="32" t="n">
        <x:v>5500</x:v>
      </x:c>
      <x:c r="F571" s="36" t="n">
        <x:v>46091</x:v>
      </x:c>
      <x:c r="G571" s="36" t="n">
        <x:v>46091</x:v>
      </x:c>
      <x:c r="H571" t="n">
        <x:v>0</x:v>
      </x:c>
      <x:c r="I571" t="str">
        <x:v>Pago em dia</x:v>
      </x:c>
    </x:row>
    <x:row r="572">
      <x:c r="A572" t="str">
        <x:v>PAG-000571</x:v>
      </x:c>
      <x:c r="B572" t="str">
        <x:v>IMV-0059</x:v>
      </x:c>
      <x:c r="C572" s="38" t="n">
        <x:v>46054</x:v>
      </x:c>
      <x:c r="D572" s="32" t="n">
        <x:v>5500</x:v>
      </x:c>
      <x:c r="E572" s="32" t="n">
        <x:v>5500</x:v>
      </x:c>
      <x:c r="F572" s="36" t="n">
        <x:v>46063</x:v>
      </x:c>
      <x:c r="G572" s="36" t="n">
        <x:v>46064</x:v>
      </x:c>
      <x:c r="H572" t="n">
        <x:v>1</x:v>
      </x:c>
      <x:c r="I572" t="str">
        <x:v>Pago em atraso</x:v>
      </x:c>
    </x:row>
    <x:row r="573">
      <x:c r="A573" t="str">
        <x:v>PAG-000572</x:v>
      </x:c>
      <x:c r="B573" t="str">
        <x:v>IMV-0059</x:v>
      </x:c>
      <x:c r="C573" s="38" t="n">
        <x:v>46023</x:v>
      </x:c>
      <x:c r="D573" s="32" t="n">
        <x:v>5500</x:v>
      </x:c>
      <x:c r="E573" s="32" t="n">
        <x:v>5500</x:v>
      </x:c>
      <x:c r="F573" s="36" t="n">
        <x:v>46032</x:v>
      </x:c>
      <x:c r="G573" s="36" t="n">
        <x:v>46032</x:v>
      </x:c>
      <x:c r="H573" t="n">
        <x:v>0</x:v>
      </x:c>
      <x:c r="I573" t="str">
        <x:v>Pago em dia</x:v>
      </x:c>
    </x:row>
    <x:row r="574">
      <x:c r="A574" t="str">
        <x:v>PAG-000573</x:v>
      </x:c>
      <x:c r="B574" t="str">
        <x:v>IMV-0059</x:v>
      </x:c>
      <x:c r="C574" s="38" t="n">
        <x:v>45992</x:v>
      </x:c>
      <x:c r="D574" s="32" t="n">
        <x:v>5500</x:v>
      </x:c>
      <x:c r="E574" s="32" t="n">
        <x:v>5500</x:v>
      </x:c>
      <x:c r="F574" s="36" t="n">
        <x:v>46001</x:v>
      </x:c>
      <x:c r="G574" s="36" t="n">
        <x:v>46001</x:v>
      </x:c>
      <x:c r="H574" t="n">
        <x:v>0</x:v>
      </x:c>
      <x:c r="I574" t="str">
        <x:v>Pago em dia</x:v>
      </x:c>
    </x:row>
    <x:row r="575">
      <x:c r="A575" t="str">
        <x:v>PAG-000574</x:v>
      </x:c>
      <x:c r="B575" t="str">
        <x:v>IMV-0059</x:v>
      </x:c>
      <x:c r="C575" s="38" t="n">
        <x:v>45962</x:v>
      </x:c>
      <x:c r="D575" s="32" t="n">
        <x:v>5500</x:v>
      </x:c>
      <x:c r="E575" s="32" t="n">
        <x:v>5500</x:v>
      </x:c>
      <x:c r="F575" s="36" t="n">
        <x:v>45971</x:v>
      </x:c>
      <x:c r="G575" s="36" t="n">
        <x:v>45971</x:v>
      </x:c>
      <x:c r="H575" t="n">
        <x:v>0</x:v>
      </x:c>
      <x:c r="I575" t="str">
        <x:v>Pago em dia</x:v>
      </x:c>
    </x:row>
    <x:row r="576">
      <x:c r="A576" t="str">
        <x:v>PAG-000575</x:v>
      </x:c>
      <x:c r="B576" t="str">
        <x:v>IMV-0059</x:v>
      </x:c>
      <x:c r="C576" s="38" t="n">
        <x:v>45931</x:v>
      </x:c>
      <x:c r="D576" s="32" t="n">
        <x:v>5500</x:v>
      </x:c>
      <x:c r="E576" s="32" t="n">
        <x:v>5500</x:v>
      </x:c>
      <x:c r="F576" s="36" t="n">
        <x:v>45940</x:v>
      </x:c>
      <x:c r="G576" s="36" t="n">
        <x:v>45941</x:v>
      </x:c>
      <x:c r="H576" t="n">
        <x:v>1</x:v>
      </x:c>
      <x:c r="I576" t="str">
        <x:v>Pago em atraso</x:v>
      </x:c>
    </x:row>
    <x:row r="577">
      <x:c r="A577" t="str">
        <x:v>PAG-000576</x:v>
      </x:c>
      <x:c r="B577" t="str">
        <x:v>IMV-0059</x:v>
      </x:c>
      <x:c r="C577" s="38" t="n">
        <x:v>45901</x:v>
      </x:c>
      <x:c r="D577" s="32" t="n">
        <x:v>5500</x:v>
      </x:c>
      <x:c r="E577" s="32" t="n">
        <x:v>5500</x:v>
      </x:c>
      <x:c r="F577" s="36" t="n">
        <x:v>45910</x:v>
      </x:c>
      <x:c r="G577" s="36" t="n">
        <x:v>45910</x:v>
      </x:c>
      <x:c r="H577" t="n">
        <x:v>0</x:v>
      </x:c>
      <x:c r="I577" t="str">
        <x:v>Pago em dia</x:v>
      </x:c>
    </x:row>
    <x:row r="578">
      <x:c r="A578" t="str">
        <x:v>PAG-000577</x:v>
      </x:c>
      <x:c r="B578" t="str">
        <x:v>IMV-0060</x:v>
      </x:c>
      <x:c r="C578" s="38" t="n">
        <x:v>46235</x:v>
      </x:c>
      <x:c r="D578" s="32" t="n">
        <x:v>5000</x:v>
      </x:c>
      <x:c r="E578" s="32" t="n">
        <x:v>5000</x:v>
      </x:c>
      <x:c r="F578" s="36" t="n">
        <x:v>46244</x:v>
      </x:c>
      <x:c r="G578" s="36" t="n">
        <x:v>46246</x:v>
      </x:c>
      <x:c r="H578" t="n">
        <x:v>2</x:v>
      </x:c>
      <x:c r="I578" t="str">
        <x:v>Pago em atraso</x:v>
      </x:c>
    </x:row>
    <x:row r="579">
      <x:c r="A579" t="str">
        <x:v>PAG-000578</x:v>
      </x:c>
      <x:c r="B579" t="str">
        <x:v>IMV-0060</x:v>
      </x:c>
      <x:c r="C579" s="38" t="n">
        <x:v>46204</x:v>
      </x:c>
      <x:c r="D579" s="32" t="n">
        <x:v>5000</x:v>
      </x:c>
      <x:c r="E579" s="32" t="n">
        <x:v>5000</x:v>
      </x:c>
      <x:c r="F579" s="36" t="n">
        <x:v>46213</x:v>
      </x:c>
      <x:c r="G579" s="36" t="n">
        <x:v>46214</x:v>
      </x:c>
      <x:c r="H579" t="n">
        <x:v>1</x:v>
      </x:c>
      <x:c r="I579" t="str">
        <x:v>Pago em atraso</x:v>
      </x:c>
    </x:row>
    <x:row r="580">
      <x:c r="A580" t="str">
        <x:v>PAG-000579</x:v>
      </x:c>
      <x:c r="B580" t="str">
        <x:v>IMV-0060</x:v>
      </x:c>
      <x:c r="C580" s="38" t="n">
        <x:v>46174</x:v>
      </x:c>
      <x:c r="D580" s="32" t="n">
        <x:v>5000</x:v>
      </x:c>
      <x:c r="E580" s="32" t="n">
        <x:v>5000</x:v>
      </x:c>
      <x:c r="F580" s="36" t="n">
        <x:v>46183</x:v>
      </x:c>
      <x:c r="G580" s="36" t="n">
        <x:v>46183</x:v>
      </x:c>
      <x:c r="H580" t="n">
        <x:v>0</x:v>
      </x:c>
      <x:c r="I580" t="str">
        <x:v>Pago em dia</x:v>
      </x:c>
    </x:row>
    <x:row r="581">
      <x:c r="A581" t="str">
        <x:v>PAG-000580</x:v>
      </x:c>
      <x:c r="B581" t="str">
        <x:v>IMV-0060</x:v>
      </x:c>
      <x:c r="C581" s="38" t="n">
        <x:v>46143</x:v>
      </x:c>
      <x:c r="D581" s="32" t="n">
        <x:v>5000</x:v>
      </x:c>
      <x:c r="E581" s="32" t="n">
        <x:v>5000</x:v>
      </x:c>
      <x:c r="F581" s="36" t="n">
        <x:v>46152</x:v>
      </x:c>
      <x:c r="G581" s="36" t="n">
        <x:v>46152</x:v>
      </x:c>
      <x:c r="H581" t="n">
        <x:v>0</x:v>
      </x:c>
      <x:c r="I581" t="str">
        <x:v>Pago em dia</x:v>
      </x:c>
    </x:row>
    <x:row r="582">
      <x:c r="A582" t="str">
        <x:v>PAG-000581</x:v>
      </x:c>
      <x:c r="B582" t="str">
        <x:v>IMV-0060</x:v>
      </x:c>
      <x:c r="C582" s="38" t="n">
        <x:v>46113</x:v>
      </x:c>
      <x:c r="D582" s="32" t="n">
        <x:v>5000</x:v>
      </x:c>
      <x:c r="E582" s="32" t="n">
        <x:v>5000</x:v>
      </x:c>
      <x:c r="F582" s="36" t="n">
        <x:v>46122</x:v>
      </x:c>
      <x:c r="G582" s="36" t="n">
        <x:v>46122</x:v>
      </x:c>
      <x:c r="H582" t="n">
        <x:v>0</x:v>
      </x:c>
      <x:c r="I582" t="str">
        <x:v>Pago em dia</x:v>
      </x:c>
    </x:row>
    <x:row r="583">
      <x:c r="A583" t="str">
        <x:v>PAG-000582</x:v>
      </x:c>
      <x:c r="B583" t="str">
        <x:v>IMV-0060</x:v>
      </x:c>
      <x:c r="C583" s="38" t="n">
        <x:v>46082</x:v>
      </x:c>
      <x:c r="D583" s="32" t="n">
        <x:v>5000</x:v>
      </x:c>
      <x:c r="E583" s="32" t="n">
        <x:v>5000</x:v>
      </x:c>
      <x:c r="F583" s="36" t="n">
        <x:v>46091</x:v>
      </x:c>
      <x:c r="G583" s="36" t="n">
        <x:v>46093</x:v>
      </x:c>
      <x:c r="H583" t="n">
        <x:v>2</x:v>
      </x:c>
      <x:c r="I583" t="str">
        <x:v>Pago em atraso</x:v>
      </x:c>
    </x:row>
    <x:row r="584">
      <x:c r="A584" t="str">
        <x:v>PAG-000583</x:v>
      </x:c>
      <x:c r="B584" t="str">
        <x:v>IMV-0060</x:v>
      </x:c>
      <x:c r="C584" s="38" t="n">
        <x:v>46054</x:v>
      </x:c>
      <x:c r="D584" s="32" t="n">
        <x:v>5000</x:v>
      </x:c>
      <x:c r="E584" s="32" t="n">
        <x:v>5000</x:v>
      </x:c>
      <x:c r="F584" s="36" t="n">
        <x:v>46063</x:v>
      </x:c>
      <x:c r="G584" s="36" t="n">
        <x:v>46063</x:v>
      </x:c>
      <x:c r="H584" t="n">
        <x:v>0</x:v>
      </x:c>
      <x:c r="I584" t="str">
        <x:v>Pago em dia</x:v>
      </x:c>
    </x:row>
    <x:row r="585">
      <x:c r="A585" t="str">
        <x:v>PAG-000584</x:v>
      </x:c>
      <x:c r="B585" t="str">
        <x:v>IMV-0060</x:v>
      </x:c>
      <x:c r="C585" s="38" t="n">
        <x:v>46023</x:v>
      </x:c>
      <x:c r="D585" s="32" t="n">
        <x:v>5000</x:v>
      </x:c>
      <x:c r="E585" s="32" t="n">
        <x:v>5000</x:v>
      </x:c>
      <x:c r="F585" s="36" t="n">
        <x:v>46032</x:v>
      </x:c>
      <x:c r="G585" s="36" t="n">
        <x:v>46032</x:v>
      </x:c>
      <x:c r="H585" t="n">
        <x:v>0</x:v>
      </x:c>
      <x:c r="I585" t="str">
        <x:v>Pago em dia</x:v>
      </x:c>
    </x:row>
    <x:row r="586">
      <x:c r="A586" t="str">
        <x:v>PAG-000585</x:v>
      </x:c>
      <x:c r="B586" t="str">
        <x:v>IMV-0060</x:v>
      </x:c>
      <x:c r="C586" s="38" t="n">
        <x:v>45992</x:v>
      </x:c>
      <x:c r="D586" s="32" t="n">
        <x:v>5000</x:v>
      </x:c>
      <x:c r="E586" s="32" t="n">
        <x:v>5000</x:v>
      </x:c>
      <x:c r="F586" s="36" t="n">
        <x:v>46001</x:v>
      </x:c>
      <x:c r="G586" s="36" t="n">
        <x:v>46001</x:v>
      </x:c>
      <x:c r="H586" t="n">
        <x:v>0</x:v>
      </x:c>
      <x:c r="I586" t="str">
        <x:v>Pago em dia</x:v>
      </x:c>
    </x:row>
    <x:row r="587">
      <x:c r="A587" t="str">
        <x:v>PAG-000586</x:v>
      </x:c>
      <x:c r="B587" t="str">
        <x:v>IMV-0060</x:v>
      </x:c>
      <x:c r="C587" s="38" t="n">
        <x:v>45962</x:v>
      </x:c>
      <x:c r="D587" s="32" t="n">
        <x:v>5000</x:v>
      </x:c>
      <x:c r="E587" s="32" t="n">
        <x:v>5000</x:v>
      </x:c>
      <x:c r="F587" s="36" t="n">
        <x:v>45971</x:v>
      </x:c>
      <x:c r="G587" s="36" t="n">
        <x:v>45972</x:v>
      </x:c>
      <x:c r="H587" t="n">
        <x:v>1</x:v>
      </x:c>
      <x:c r="I587" t="str">
        <x:v>Pago em atraso</x:v>
      </x:c>
    </x:row>
    <x:row r="588">
      <x:c r="A588" t="str">
        <x:v>PAG-000587</x:v>
      </x:c>
      <x:c r="B588" t="str">
        <x:v>IMV-0060</x:v>
      </x:c>
      <x:c r="C588" s="38" t="n">
        <x:v>45931</x:v>
      </x:c>
      <x:c r="D588" s="32" t="n">
        <x:v>5000</x:v>
      </x:c>
      <x:c r="E588" s="32" t="n">
        <x:v>5000</x:v>
      </x:c>
      <x:c r="F588" s="36" t="n">
        <x:v>45940</x:v>
      </x:c>
      <x:c r="G588" s="36" t="n">
        <x:v>45940</x:v>
      </x:c>
      <x:c r="H588" t="n">
        <x:v>0</x:v>
      </x:c>
      <x:c r="I588" t="str">
        <x:v>Pago em dia</x:v>
      </x:c>
    </x:row>
    <x:row r="589">
      <x:c r="A589" t="str">
        <x:v>PAG-000588</x:v>
      </x:c>
      <x:c r="B589" t="str">
        <x:v>IMV-0060</x:v>
      </x:c>
      <x:c r="C589" s="38" t="n">
        <x:v>45901</x:v>
      </x:c>
      <x:c r="D589" s="32" t="n">
        <x:v>5000</x:v>
      </x:c>
      <x:c r="E589" s="32" t="n">
        <x:v>5000</x:v>
      </x:c>
      <x:c r="F589" s="36" t="n">
        <x:v>45910</x:v>
      </x:c>
      <x:c r="G589" s="36" t="n">
        <x:v>45910</x:v>
      </x:c>
      <x:c r="H589" t="n">
        <x:v>0</x:v>
      </x:c>
      <x:c r="I589" t="str">
        <x:v>Pago em dia</x:v>
      </x:c>
    </x:row>
    <x:row r="590">
      <x:c r="A590" t="str">
        <x:v>PAG-000589</x:v>
      </x:c>
      <x:c r="B590" t="str">
        <x:v>IMV-0061</x:v>
      </x:c>
      <x:c r="C590" s="38" t="n">
        <x:v>46235</x:v>
      </x:c>
      <x:c r="D590" s="32" t="n">
        <x:v>6050</x:v>
      </x:c>
      <x:c r="E590" s="32" t="n">
        <x:v>6050</x:v>
      </x:c>
      <x:c r="F590" s="36" t="n">
        <x:v>46244</x:v>
      </x:c>
      <x:c r="G590" s="36" t="n">
        <x:v>46244</x:v>
      </x:c>
      <x:c r="H590" t="n">
        <x:v>0</x:v>
      </x:c>
      <x:c r="I590" t="str">
        <x:v>Pago em dia</x:v>
      </x:c>
    </x:row>
    <x:row r="591">
      <x:c r="A591" t="str">
        <x:v>PAG-000590</x:v>
      </x:c>
      <x:c r="B591" t="str">
        <x:v>IMV-0061</x:v>
      </x:c>
      <x:c r="C591" s="38" t="n">
        <x:v>46204</x:v>
      </x:c>
      <x:c r="D591" s="32" t="n">
        <x:v>6050</x:v>
      </x:c>
      <x:c r="E591" s="32" t="n">
        <x:v>6050</x:v>
      </x:c>
      <x:c r="F591" s="36" t="n">
        <x:v>46213</x:v>
      </x:c>
      <x:c r="G591" s="36" t="n">
        <x:v>46216</x:v>
      </x:c>
      <x:c r="H591" t="n">
        <x:v>3</x:v>
      </x:c>
      <x:c r="I591" t="str">
        <x:v>Pago em atraso</x:v>
      </x:c>
    </x:row>
    <x:row r="592">
      <x:c r="A592" t="str">
        <x:v>PAG-000591</x:v>
      </x:c>
      <x:c r="B592" t="str">
        <x:v>IMV-0061</x:v>
      </x:c>
      <x:c r="C592" s="38" t="n">
        <x:v>46174</x:v>
      </x:c>
      <x:c r="D592" s="32" t="n">
        <x:v>6050</x:v>
      </x:c>
      <x:c r="E592" s="32" t="n">
        <x:v>6050</x:v>
      </x:c>
      <x:c r="F592" s="36" t="n">
        <x:v>46183</x:v>
      </x:c>
      <x:c r="G592" s="36" t="n">
        <x:v>46183</x:v>
      </x:c>
      <x:c r="H592" t="n">
        <x:v>0</x:v>
      </x:c>
      <x:c r="I592" t="str">
        <x:v>Pago em dia</x:v>
      </x:c>
    </x:row>
    <x:row r="593">
      <x:c r="A593" t="str">
        <x:v>PAG-000592</x:v>
      </x:c>
      <x:c r="B593" t="str">
        <x:v>IMV-0061</x:v>
      </x:c>
      <x:c r="C593" s="38" t="n">
        <x:v>46143</x:v>
      </x:c>
      <x:c r="D593" s="32" t="n">
        <x:v>6050</x:v>
      </x:c>
      <x:c r="E593" s="32" t="n">
        <x:v>6050</x:v>
      </x:c>
      <x:c r="F593" s="36" t="n">
        <x:v>46152</x:v>
      </x:c>
      <x:c r="G593" s="36" t="n">
        <x:v>46159</x:v>
      </x:c>
      <x:c r="H593" t="n">
        <x:v>7</x:v>
      </x:c>
      <x:c r="I593" t="str">
        <x:v>Pago em atraso</x:v>
      </x:c>
    </x:row>
    <x:row r="594">
      <x:c r="A594" t="str">
        <x:v>PAG-000593</x:v>
      </x:c>
      <x:c r="B594" t="str">
        <x:v>IMV-0061</x:v>
      </x:c>
      <x:c r="C594" s="38" t="n">
        <x:v>46113</x:v>
      </x:c>
      <x:c r="D594" s="32" t="n">
        <x:v>6050</x:v>
      </x:c>
      <x:c r="E594" s="32" t="n">
        <x:v>6050</x:v>
      </x:c>
      <x:c r="F594" s="36" t="n">
        <x:v>46122</x:v>
      </x:c>
      <x:c r="G594" s="36" t="n">
        <x:v>46122</x:v>
      </x:c>
      <x:c r="H594" t="n">
        <x:v>0</x:v>
      </x:c>
      <x:c r="I594" t="str">
        <x:v>Pago em dia</x:v>
      </x:c>
    </x:row>
    <x:row r="595">
      <x:c r="A595" t="str">
        <x:v>PAG-000594</x:v>
      </x:c>
      <x:c r="B595" t="str">
        <x:v>IMV-0061</x:v>
      </x:c>
      <x:c r="C595" s="38" t="n">
        <x:v>46082</x:v>
      </x:c>
      <x:c r="D595" s="32" t="n">
        <x:v>6050</x:v>
      </x:c>
      <x:c r="E595" s="32" t="n">
        <x:v>6050</x:v>
      </x:c>
      <x:c r="F595" s="36" t="n">
        <x:v>46091</x:v>
      </x:c>
      <x:c r="G595" s="36" t="n">
        <x:v>46091</x:v>
      </x:c>
      <x:c r="H595" t="n">
        <x:v>0</x:v>
      </x:c>
      <x:c r="I595" t="str">
        <x:v>Pago em dia</x:v>
      </x:c>
    </x:row>
    <x:row r="596">
      <x:c r="A596" t="str">
        <x:v>PAG-000595</x:v>
      </x:c>
      <x:c r="B596" t="str">
        <x:v>IMV-0061</x:v>
      </x:c>
      <x:c r="C596" s="38" t="n">
        <x:v>46054</x:v>
      </x:c>
      <x:c r="D596" s="32" t="n">
        <x:v>6050</x:v>
      </x:c>
      <x:c r="E596" s="32" t="n">
        <x:v>6050</x:v>
      </x:c>
      <x:c r="F596" s="36" t="n">
        <x:v>46063</x:v>
      </x:c>
      <x:c r="G596" s="36" t="n">
        <x:v>46066</x:v>
      </x:c>
      <x:c r="H596" t="n">
        <x:v>3</x:v>
      </x:c>
      <x:c r="I596" t="str">
        <x:v>Pago em atraso</x:v>
      </x:c>
    </x:row>
    <x:row r="597">
      <x:c r="A597" t="str">
        <x:v>PAG-000596</x:v>
      </x:c>
      <x:c r="B597" t="str">
        <x:v>IMV-0061</x:v>
      </x:c>
      <x:c r="C597" s="38" t="n">
        <x:v>46023</x:v>
      </x:c>
      <x:c r="D597" s="32" t="n">
        <x:v>6050</x:v>
      </x:c>
      <x:c r="E597" s="32" t="n">
        <x:v>6050</x:v>
      </x:c>
      <x:c r="F597" s="36" t="n">
        <x:v>46032</x:v>
      </x:c>
      <x:c r="G597" s="36" t="n">
        <x:v>46035</x:v>
      </x:c>
      <x:c r="H597" t="n">
        <x:v>3</x:v>
      </x:c>
      <x:c r="I597" t="str">
        <x:v>Pago em atraso</x:v>
      </x:c>
    </x:row>
    <x:row r="598">
      <x:c r="A598" t="str">
        <x:v>PAG-000597</x:v>
      </x:c>
      <x:c r="B598" t="str">
        <x:v>IMV-0061</x:v>
      </x:c>
      <x:c r="C598" s="38" t="n">
        <x:v>45992</x:v>
      </x:c>
      <x:c r="D598" s="32" t="n">
        <x:v>6050</x:v>
      </x:c>
      <x:c r="E598" s="32" t="n">
        <x:v>6050</x:v>
      </x:c>
      <x:c r="F598" s="36" t="n">
        <x:v>46001</x:v>
      </x:c>
      <x:c r="G598" s="36" t="n">
        <x:v>46001</x:v>
      </x:c>
      <x:c r="H598" t="n">
        <x:v>0</x:v>
      </x:c>
      <x:c r="I598" t="str">
        <x:v>Pago em dia</x:v>
      </x:c>
    </x:row>
    <x:row r="599">
      <x:c r="A599" t="str">
        <x:v>PAG-000598</x:v>
      </x:c>
      <x:c r="B599" t="str">
        <x:v>IMV-0061</x:v>
      </x:c>
      <x:c r="C599" s="38" t="n">
        <x:v>45962</x:v>
      </x:c>
      <x:c r="D599" s="32" t="n">
        <x:v>6050</x:v>
      </x:c>
      <x:c r="E599" s="32" t="n">
        <x:v>6050</x:v>
      </x:c>
      <x:c r="F599" s="36" t="n">
        <x:v>45971</x:v>
      </x:c>
      <x:c r="G599" s="36" t="n">
        <x:v>45983</x:v>
      </x:c>
      <x:c r="H599" t="n">
        <x:v>12</x:v>
      </x:c>
      <x:c r="I599" t="str">
        <x:v>Pago em atraso</x:v>
      </x:c>
    </x:row>
    <x:row r="600">
      <x:c r="A600" t="str">
        <x:v>PAG-000599</x:v>
      </x:c>
      <x:c r="B600" t="str">
        <x:v>IMV-0061</x:v>
      </x:c>
      <x:c r="C600" s="38" t="n">
        <x:v>45931</x:v>
      </x:c>
      <x:c r="D600" s="32" t="n">
        <x:v>6050</x:v>
      </x:c>
      <x:c r="E600" s="32" t="n">
        <x:v>6050</x:v>
      </x:c>
      <x:c r="F600" s="36" t="n">
        <x:v>45940</x:v>
      </x:c>
      <x:c r="G600" s="36" t="n">
        <x:v>45947</x:v>
      </x:c>
      <x:c r="H600" t="n">
        <x:v>7</x:v>
      </x:c>
      <x:c r="I600" t="str">
        <x:v>Pago em atraso</x:v>
      </x:c>
    </x:row>
    <x:row r="601">
      <x:c r="A601" t="str">
        <x:v>PAG-000600</x:v>
      </x:c>
      <x:c r="B601" t="str">
        <x:v>IMV-0061</x:v>
      </x:c>
      <x:c r="C601" s="38" t="n">
        <x:v>45901</x:v>
      </x:c>
      <x:c r="D601" s="32" t="n">
        <x:v>6050</x:v>
      </x:c>
      <x:c r="E601" s="32" t="n">
        <x:v>6050</x:v>
      </x:c>
      <x:c r="F601" s="36" t="n">
        <x:v>45910</x:v>
      </x:c>
      <x:c r="G601" s="36" t="n">
        <x:v>45910</x:v>
      </x:c>
      <x:c r="H601" t="n">
        <x:v>0</x:v>
      </x:c>
      <x:c r="I601" t="str">
        <x:v>Pago em dia</x:v>
      </x:c>
    </x:row>
    <x:row r="602">
      <x:c r="A602" t="str">
        <x:v>PAG-000601</x:v>
      </x:c>
      <x:c r="B602" t="str">
        <x:v>IMV-0062</x:v>
      </x:c>
      <x:c r="C602" s="38" t="n">
        <x:v>46235</x:v>
      </x:c>
      <x:c r="D602" s="32" t="n">
        <x:v>4000</x:v>
      </x:c>
      <x:c r="E602" s="32" t="n">
        <x:v>4000</x:v>
      </x:c>
      <x:c r="F602" s="36" t="n">
        <x:v>46244</x:v>
      </x:c>
      <x:c r="G602" s="36" t="n">
        <x:v>46256</x:v>
      </x:c>
      <x:c r="H602" t="n">
        <x:v>12</x:v>
      </x:c>
      <x:c r="I602" t="str">
        <x:v>Pago em atraso</x:v>
      </x:c>
    </x:row>
    <x:row r="603">
      <x:c r="A603" t="str">
        <x:v>PAG-000602</x:v>
      </x:c>
      <x:c r="B603" t="str">
        <x:v>IMV-0062</x:v>
      </x:c>
      <x:c r="C603" s="38" t="n">
        <x:v>46204</x:v>
      </x:c>
      <x:c r="D603" s="32" t="n">
        <x:v>4000</x:v>
      </x:c>
      <x:c r="E603" s="32" t="n">
        <x:v>4000</x:v>
      </x:c>
      <x:c r="F603" s="36" t="n">
        <x:v>46213</x:v>
      </x:c>
      <x:c r="G603" s="36" t="n">
        <x:v>46273</x:v>
      </x:c>
      <x:c r="H603" t="n">
        <x:v>60</x:v>
      </x:c>
      <x:c r="I603" t="str">
        <x:v>Pago em atraso</x:v>
      </x:c>
    </x:row>
    <x:row r="604">
      <x:c r="A604" t="str">
        <x:v>PAG-000603</x:v>
      </x:c>
      <x:c r="B604" t="str">
        <x:v>IMV-0062</x:v>
      </x:c>
      <x:c r="C604" s="38" t="n">
        <x:v>46174</x:v>
      </x:c>
      <x:c r="D604" s="32" t="n">
        <x:v>4000</x:v>
      </x:c>
      <x:c r="E604" s="32" t="n">
        <x:v>4000</x:v>
      </x:c>
      <x:c r="F604" s="36" t="n">
        <x:v>46183</x:v>
      </x:c>
      <x:c r="G604" s="36" t="n">
        <x:v>46243</x:v>
      </x:c>
      <x:c r="H604" t="n">
        <x:v>60</x:v>
      </x:c>
      <x:c r="I604" t="str">
        <x:v>Pago em atraso</x:v>
      </x:c>
    </x:row>
    <x:row r="605">
      <x:c r="A605" t="str">
        <x:v>PAG-000604</x:v>
      </x:c>
      <x:c r="B605" t="str">
        <x:v>IMV-0062</x:v>
      </x:c>
      <x:c r="C605" s="38" t="n">
        <x:v>46143</x:v>
      </x:c>
      <x:c r="D605" s="32" t="n">
        <x:v>4000</x:v>
      </x:c>
      <x:c r="E605" s="32" t="n">
        <x:v>4000</x:v>
      </x:c>
      <x:c r="F605" s="36" t="n">
        <x:v>46152</x:v>
      </x:c>
      <x:c r="G605" s="36" t="n">
        <x:v>46164</x:v>
      </x:c>
      <x:c r="H605" t="n">
        <x:v>12</x:v>
      </x:c>
      <x:c r="I605" t="str">
        <x:v>Pago em atraso</x:v>
      </x:c>
    </x:row>
    <x:row r="606">
      <x:c r="A606" t="str">
        <x:v>PAG-000605</x:v>
      </x:c>
      <x:c r="B606" t="str">
        <x:v>IMV-0062</x:v>
      </x:c>
      <x:c r="C606" s="38" t="n">
        <x:v>46113</x:v>
      </x:c>
      <x:c r="D606" s="32" t="n">
        <x:v>4000</x:v>
      </x:c>
      <x:c r="E606" s="32" t="n">
        <x:v>4000</x:v>
      </x:c>
      <x:c r="F606" s="36" t="n">
        <x:v>46122</x:v>
      </x:c>
      <x:c r="G606" s="36" t="n">
        <x:v>46134</x:v>
      </x:c>
      <x:c r="H606" t="n">
        <x:v>12</x:v>
      </x:c>
      <x:c r="I606" t="str">
        <x:v>Pago em atraso</x:v>
      </x:c>
    </x:row>
    <x:row r="607">
      <x:c r="A607" t="str">
        <x:v>PAG-000606</x:v>
      </x:c>
      <x:c r="B607" t="str">
        <x:v>IMV-0062</x:v>
      </x:c>
      <x:c r="C607" s="38" t="n">
        <x:v>46082</x:v>
      </x:c>
      <x:c r="D607" s="32" t="n">
        <x:v>4000</x:v>
      </x:c>
      <x:c r="E607" s="32" t="n">
        <x:v>4000</x:v>
      </x:c>
      <x:c r="F607" s="36" t="n">
        <x:v>46091</x:v>
      </x:c>
      <x:c r="G607" s="36" t="n">
        <x:v>46111</x:v>
      </x:c>
      <x:c r="H607" t="n">
        <x:v>20</x:v>
      </x:c>
      <x:c r="I607" t="str">
        <x:v>Pago em atraso</x:v>
      </x:c>
    </x:row>
    <x:row r="608">
      <x:c r="A608" t="str">
        <x:v>PAG-000607</x:v>
      </x:c>
      <x:c r="B608" t="str">
        <x:v>IMV-0062</x:v>
      </x:c>
      <x:c r="C608" s="38" t="n">
        <x:v>46054</x:v>
      </x:c>
      <x:c r="D608" s="32" t="n">
        <x:v>4000</x:v>
      </x:c>
      <x:c r="E608" s="32" t="n">
        <x:v>4000</x:v>
      </x:c>
      <x:c r="F608" s="36" t="n">
        <x:v>46063</x:v>
      </x:c>
      <x:c r="G608" s="36" t="n">
        <x:v>46075</x:v>
      </x:c>
      <x:c r="H608" t="n">
        <x:v>12</x:v>
      </x:c>
      <x:c r="I608" t="str">
        <x:v>Pago em atraso</x:v>
      </x:c>
    </x:row>
    <x:row r="609">
      <x:c r="A609" t="str">
        <x:v>PAG-000608</x:v>
      </x:c>
      <x:c r="B609" t="str">
        <x:v>IMV-0062</x:v>
      </x:c>
      <x:c r="C609" s="38" t="n">
        <x:v>46023</x:v>
      </x:c>
      <x:c r="D609" s="32" t="n">
        <x:v>4000</x:v>
      </x:c>
      <x:c r="E609" s="32" t="n">
        <x:v>4000</x:v>
      </x:c>
      <x:c r="F609" s="36" t="n">
        <x:v>46032</x:v>
      </x:c>
      <x:c r="G609" s="36" t="n">
        <x:v>46092</x:v>
      </x:c>
      <x:c r="H609" t="n">
        <x:v>60</x:v>
      </x:c>
      <x:c r="I609" t="str">
        <x:v>Pago em atraso</x:v>
      </x:c>
    </x:row>
    <x:row r="610">
      <x:c r="A610" t="str">
        <x:v>PAG-000609</x:v>
      </x:c>
      <x:c r="B610" t="str">
        <x:v>IMV-0062</x:v>
      </x:c>
      <x:c r="C610" s="38" t="n">
        <x:v>45992</x:v>
      </x:c>
      <x:c r="D610" s="32" t="n">
        <x:v>4000</x:v>
      </x:c>
      <x:c r="E610" s="32" t="n">
        <x:v>4000</x:v>
      </x:c>
      <x:c r="F610" s="36" t="n">
        <x:v>46001</x:v>
      </x:c>
      <x:c r="G610" s="36" t="n">
        <x:v>46008</x:v>
      </x:c>
      <x:c r="H610" t="n">
        <x:v>7</x:v>
      </x:c>
      <x:c r="I610" t="str">
        <x:v>Pago em atraso</x:v>
      </x:c>
    </x:row>
    <x:row r="611">
      <x:c r="A611" t="str">
        <x:v>PAG-000610</x:v>
      </x:c>
      <x:c r="B611" t="str">
        <x:v>IMV-0062</x:v>
      </x:c>
      <x:c r="C611" s="38" t="n">
        <x:v>45962</x:v>
      </x:c>
      <x:c r="D611" s="32" t="n">
        <x:v>4000</x:v>
      </x:c>
      <x:c r="E611" s="32" t="n">
        <x:v>4000</x:v>
      </x:c>
      <x:c r="F611" s="36" t="n">
        <x:v>45971</x:v>
      </x:c>
      <x:c r="G611" s="36" t="n">
        <x:v>46006</x:v>
      </x:c>
      <x:c r="H611" t="n">
        <x:v>35</x:v>
      </x:c>
      <x:c r="I611" t="str">
        <x:v>Pago em atraso</x:v>
      </x:c>
    </x:row>
    <x:row r="612">
      <x:c r="A612" t="str">
        <x:v>PAG-000611</x:v>
      </x:c>
      <x:c r="B612" t="str">
        <x:v>IMV-0062</x:v>
      </x:c>
      <x:c r="C612" s="38" t="n">
        <x:v>45931</x:v>
      </x:c>
      <x:c r="D612" s="32" t="n">
        <x:v>4000</x:v>
      </x:c>
      <x:c r="E612" s="32" t="n">
        <x:v>4000</x:v>
      </x:c>
      <x:c r="F612" s="36" t="n">
        <x:v>45940</x:v>
      </x:c>
      <x:c r="G612" s="36" t="n">
        <x:v>45947</x:v>
      </x:c>
      <x:c r="H612" t="n">
        <x:v>7</x:v>
      </x:c>
      <x:c r="I612" t="str">
        <x:v>Pago em atraso</x:v>
      </x:c>
    </x:row>
    <x:row r="613">
      <x:c r="A613" t="str">
        <x:v>PAG-000612</x:v>
      </x:c>
      <x:c r="B613" t="str">
        <x:v>IMV-0062</x:v>
      </x:c>
      <x:c r="C613" s="38" t="n">
        <x:v>45901</x:v>
      </x:c>
      <x:c r="D613" s="32" t="n">
        <x:v>4000</x:v>
      </x:c>
      <x:c r="E613" s="32" t="n">
        <x:v>4000</x:v>
      </x:c>
      <x:c r="F613" s="36" t="n">
        <x:v>45910</x:v>
      </x:c>
      <x:c r="G613" s="36" t="n">
        <x:v>45922</x:v>
      </x:c>
      <x:c r="H613" t="n">
        <x:v>12</x:v>
      </x:c>
      <x:c r="I613" t="str">
        <x:v>Pago em atraso</x:v>
      </x:c>
    </x:row>
    <x:row r="614">
      <x:c r="A614" t="str">
        <x:v>PAG-000613</x:v>
      </x:c>
      <x:c r="B614" t="str">
        <x:v>IMV-0063</x:v>
      </x:c>
      <x:c r="C614" s="38" t="n">
        <x:v>46235</x:v>
      </x:c>
      <x:c r="D614" s="32" t="n">
        <x:v>1850</x:v>
      </x:c>
      <x:c r="E614" s="32" t="n">
        <x:v>1850</x:v>
      </x:c>
      <x:c r="F614" s="36" t="n">
        <x:v>46244</x:v>
      </x:c>
      <x:c r="G614" s="36" t="n">
        <x:v>46244</x:v>
      </x:c>
      <x:c r="H614" t="n">
        <x:v>0</x:v>
      </x:c>
      <x:c r="I614" t="str">
        <x:v>Pago em dia</x:v>
      </x:c>
    </x:row>
    <x:row r="615">
      <x:c r="A615" t="str">
        <x:v>PAG-000614</x:v>
      </x:c>
      <x:c r="B615" t="str">
        <x:v>IMV-0063</x:v>
      </x:c>
      <x:c r="C615" s="38" t="n">
        <x:v>46204</x:v>
      </x:c>
      <x:c r="D615" s="32" t="n">
        <x:v>1850</x:v>
      </x:c>
      <x:c r="E615" s="32" t="n">
        <x:v>1850</x:v>
      </x:c>
      <x:c r="F615" s="36" t="n">
        <x:v>46213</x:v>
      </x:c>
      <x:c r="G615" s="36" t="n">
        <x:v>46213</x:v>
      </x:c>
      <x:c r="H615" t="n">
        <x:v>0</x:v>
      </x:c>
      <x:c r="I615" t="str">
        <x:v>Pago em dia</x:v>
      </x:c>
    </x:row>
    <x:row r="616">
      <x:c r="A616" t="str">
        <x:v>PAG-000615</x:v>
      </x:c>
      <x:c r="B616" t="str">
        <x:v>IMV-0063</x:v>
      </x:c>
      <x:c r="C616" s="38" t="n">
        <x:v>46174</x:v>
      </x:c>
      <x:c r="D616" s="32" t="n">
        <x:v>1850</x:v>
      </x:c>
      <x:c r="E616" s="32" t="n">
        <x:v>1850</x:v>
      </x:c>
      <x:c r="F616" s="36" t="n">
        <x:v>46183</x:v>
      </x:c>
      <x:c r="G616" s="36" t="n">
        <x:v>46183</x:v>
      </x:c>
      <x:c r="H616" t="n">
        <x:v>0</x:v>
      </x:c>
      <x:c r="I616" t="str">
        <x:v>Pago em dia</x:v>
      </x:c>
    </x:row>
    <x:row r="617">
      <x:c r="A617" t="str">
        <x:v>PAG-000616</x:v>
      </x:c>
      <x:c r="B617" t="str">
        <x:v>IMV-0063</x:v>
      </x:c>
      <x:c r="C617" s="38" t="n">
        <x:v>46143</x:v>
      </x:c>
      <x:c r="D617" s="32" t="n">
        <x:v>1850</x:v>
      </x:c>
      <x:c r="E617" s="32" t="n">
        <x:v>1850</x:v>
      </x:c>
      <x:c r="F617" s="36" t="n">
        <x:v>46152</x:v>
      </x:c>
      <x:c r="G617" s="36" t="n">
        <x:v>46152</x:v>
      </x:c>
      <x:c r="H617" t="n">
        <x:v>0</x:v>
      </x:c>
      <x:c r="I617" t="str">
        <x:v>Pago em dia</x:v>
      </x:c>
    </x:row>
    <x:row r="618">
      <x:c r="A618" t="str">
        <x:v>PAG-000617</x:v>
      </x:c>
      <x:c r="B618" t="str">
        <x:v>IMV-0063</x:v>
      </x:c>
      <x:c r="C618" s="38" t="n">
        <x:v>46113</x:v>
      </x:c>
      <x:c r="D618" s="32" t="n">
        <x:v>1850</x:v>
      </x:c>
      <x:c r="E618" s="32" t="n">
        <x:v>1850</x:v>
      </x:c>
      <x:c r="F618" s="36" t="n">
        <x:v>46122</x:v>
      </x:c>
      <x:c r="G618" s="36" t="n">
        <x:v>46122</x:v>
      </x:c>
      <x:c r="H618" t="n">
        <x:v>0</x:v>
      </x:c>
      <x:c r="I618" t="str">
        <x:v>Pago em dia</x:v>
      </x:c>
    </x:row>
    <x:row r="619">
      <x:c r="A619" t="str">
        <x:v>PAG-000618</x:v>
      </x:c>
      <x:c r="B619" t="str">
        <x:v>IMV-0063</x:v>
      </x:c>
      <x:c r="C619" s="38" t="n">
        <x:v>46082</x:v>
      </x:c>
      <x:c r="D619" s="32" t="n">
        <x:v>1850</x:v>
      </x:c>
      <x:c r="E619" s="32" t="n">
        <x:v>1850</x:v>
      </x:c>
      <x:c r="F619" s="36" t="n">
        <x:v>46091</x:v>
      </x:c>
      <x:c r="G619" s="36" t="n">
        <x:v>46091</x:v>
      </x:c>
      <x:c r="H619" t="n">
        <x:v>0</x:v>
      </x:c>
      <x:c r="I619" t="str">
        <x:v>Pago em dia</x:v>
      </x:c>
    </x:row>
    <x:row r="620">
      <x:c r="A620" t="str">
        <x:v>PAG-000619</x:v>
      </x:c>
      <x:c r="B620" t="str">
        <x:v>IMV-0063</x:v>
      </x:c>
      <x:c r="C620" s="38" t="n">
        <x:v>46054</x:v>
      </x:c>
      <x:c r="D620" s="32" t="n">
        <x:v>1850</x:v>
      </x:c>
      <x:c r="E620" s="32" t="n">
        <x:v>1850</x:v>
      </x:c>
      <x:c r="F620" s="36" t="n">
        <x:v>46063</x:v>
      </x:c>
      <x:c r="G620" s="36" t="n">
        <x:v>46063</x:v>
      </x:c>
      <x:c r="H620" t="n">
        <x:v>0</x:v>
      </x:c>
      <x:c r="I620" t="str">
        <x:v>Pago em dia</x:v>
      </x:c>
    </x:row>
    <x:row r="621">
      <x:c r="A621" t="str">
        <x:v>PAG-000620</x:v>
      </x:c>
      <x:c r="B621" t="str">
        <x:v>IMV-0063</x:v>
      </x:c>
      <x:c r="C621" s="38" t="n">
        <x:v>46023</x:v>
      </x:c>
      <x:c r="D621" s="32" t="n">
        <x:v>1850</x:v>
      </x:c>
      <x:c r="E621" s="32" t="n">
        <x:v>1850</x:v>
      </x:c>
      <x:c r="F621" s="36" t="n">
        <x:v>46032</x:v>
      </x:c>
      <x:c r="G621" s="36" t="n">
        <x:v>46032</x:v>
      </x:c>
      <x:c r="H621" t="n">
        <x:v>0</x:v>
      </x:c>
      <x:c r="I621" t="str">
        <x:v>Pago em dia</x:v>
      </x:c>
    </x:row>
    <x:row r="622">
      <x:c r="A622" t="str">
        <x:v>PAG-000621</x:v>
      </x:c>
      <x:c r="B622" t="str">
        <x:v>IMV-0063</x:v>
      </x:c>
      <x:c r="C622" s="38" t="n">
        <x:v>45992</x:v>
      </x:c>
      <x:c r="D622" s="32" t="n">
        <x:v>1850</x:v>
      </x:c>
      <x:c r="E622" s="32" t="n">
        <x:v>1850</x:v>
      </x:c>
      <x:c r="F622" s="36" t="n">
        <x:v>46001</x:v>
      </x:c>
      <x:c r="G622" s="36" t="n">
        <x:v>46001</x:v>
      </x:c>
      <x:c r="H622" t="n">
        <x:v>0</x:v>
      </x:c>
      <x:c r="I622" t="str">
        <x:v>Pago em dia</x:v>
      </x:c>
    </x:row>
    <x:row r="623">
      <x:c r="A623" t="str">
        <x:v>PAG-000622</x:v>
      </x:c>
      <x:c r="B623" t="str">
        <x:v>IMV-0063</x:v>
      </x:c>
      <x:c r="C623" s="38" t="n">
        <x:v>45962</x:v>
      </x:c>
      <x:c r="D623" s="32" t="n">
        <x:v>1850</x:v>
      </x:c>
      <x:c r="E623" s="32" t="n">
        <x:v>1850</x:v>
      </x:c>
      <x:c r="F623" s="36" t="n">
        <x:v>45971</x:v>
      </x:c>
      <x:c r="G623" s="36" t="n">
        <x:v>45971</x:v>
      </x:c>
      <x:c r="H623" t="n">
        <x:v>0</x:v>
      </x:c>
      <x:c r="I623" t="str">
        <x:v>Pago em dia</x:v>
      </x:c>
    </x:row>
    <x:row r="624">
      <x:c r="A624" t="str">
        <x:v>PAG-000623</x:v>
      </x:c>
      <x:c r="B624" t="str">
        <x:v>IMV-0063</x:v>
      </x:c>
      <x:c r="C624" s="38" t="n">
        <x:v>45931</x:v>
      </x:c>
      <x:c r="D624" s="32" t="n">
        <x:v>1850</x:v>
      </x:c>
      <x:c r="E624" s="32" t="n">
        <x:v>1850</x:v>
      </x:c>
      <x:c r="F624" s="36" t="n">
        <x:v>45940</x:v>
      </x:c>
      <x:c r="G624" s="36" t="n">
        <x:v>45941</x:v>
      </x:c>
      <x:c r="H624" t="n">
        <x:v>1</x:v>
      </x:c>
      <x:c r="I624" t="str">
        <x:v>Pago em atraso</x:v>
      </x:c>
    </x:row>
    <x:row r="625">
      <x:c r="A625" t="str">
        <x:v>PAG-000624</x:v>
      </x:c>
      <x:c r="B625" t="str">
        <x:v>IMV-0063</x:v>
      </x:c>
      <x:c r="C625" s="38" t="n">
        <x:v>45901</x:v>
      </x:c>
      <x:c r="D625" s="32" t="n">
        <x:v>1850</x:v>
      </x:c>
      <x:c r="E625" s="32" t="n">
        <x:v>1850</x:v>
      </x:c>
      <x:c r="F625" s="36" t="n">
        <x:v>45910</x:v>
      </x:c>
      <x:c r="G625" s="36" t="n">
        <x:v>45912</x:v>
      </x:c>
      <x:c r="H625" t="n">
        <x:v>2</x:v>
      </x:c>
      <x:c r="I625" t="str">
        <x:v>Pago em atraso</x:v>
      </x:c>
    </x:row>
    <x:row r="626">
      <x:c r="A626" t="str">
        <x:v>PAG-000625</x:v>
      </x:c>
      <x:c r="B626" t="str">
        <x:v>IMV-0064</x:v>
      </x:c>
      <x:c r="C626" s="38" t="n">
        <x:v>46235</x:v>
      </x:c>
      <x:c r="D626" s="32" t="n">
        <x:v>5650</x:v>
      </x:c>
      <x:c r="E626" s="32" t="n">
        <x:v>5650</x:v>
      </x:c>
      <x:c r="F626" s="36" t="n">
        <x:v>46244</x:v>
      </x:c>
      <x:c r="G626" s="36" t="n">
        <x:v>46246</x:v>
      </x:c>
      <x:c r="H626" t="n">
        <x:v>2</x:v>
      </x:c>
      <x:c r="I626" t="str">
        <x:v>Pago em atraso</x:v>
      </x:c>
    </x:row>
    <x:row r="627">
      <x:c r="A627" t="str">
        <x:v>PAG-000626</x:v>
      </x:c>
      <x:c r="B627" t="str">
        <x:v>IMV-0064</x:v>
      </x:c>
      <x:c r="C627" s="38" t="n">
        <x:v>46204</x:v>
      </x:c>
      <x:c r="D627" s="32" t="n">
        <x:v>5650</x:v>
      </x:c>
      <x:c r="E627" s="32" t="n">
        <x:v>5650</x:v>
      </x:c>
      <x:c r="F627" s="36" t="n">
        <x:v>46213</x:v>
      </x:c>
      <x:c r="G627" s="36" t="n">
        <x:v>46213</x:v>
      </x:c>
      <x:c r="H627" t="n">
        <x:v>0</x:v>
      </x:c>
      <x:c r="I627" t="str">
        <x:v>Pago em dia</x:v>
      </x:c>
    </x:row>
    <x:row r="628">
      <x:c r="A628" t="str">
        <x:v>PAG-000627</x:v>
      </x:c>
      <x:c r="B628" t="str">
        <x:v>IMV-0064</x:v>
      </x:c>
      <x:c r="C628" s="38" t="n">
        <x:v>46174</x:v>
      </x:c>
      <x:c r="D628" s="32" t="n">
        <x:v>5650</x:v>
      </x:c>
      <x:c r="E628" s="32" t="n">
        <x:v>5650</x:v>
      </x:c>
      <x:c r="F628" s="36" t="n">
        <x:v>46183</x:v>
      </x:c>
      <x:c r="G628" s="36" t="n">
        <x:v>46186</x:v>
      </x:c>
      <x:c r="H628" t="n">
        <x:v>3</x:v>
      </x:c>
      <x:c r="I628" t="str">
        <x:v>Pago em atraso</x:v>
      </x:c>
    </x:row>
    <x:row r="629">
      <x:c r="A629" t="str">
        <x:v>PAG-000628</x:v>
      </x:c>
      <x:c r="B629" t="str">
        <x:v>IMV-0064</x:v>
      </x:c>
      <x:c r="C629" s="38" t="n">
        <x:v>46143</x:v>
      </x:c>
      <x:c r="D629" s="32" t="n">
        <x:v>5650</x:v>
      </x:c>
      <x:c r="E629" s="32" t="n">
        <x:v>5650</x:v>
      </x:c>
      <x:c r="F629" s="36" t="n">
        <x:v>46152</x:v>
      </x:c>
      <x:c r="G629" s="36" t="n">
        <x:v>46152</x:v>
      </x:c>
      <x:c r="H629" t="n">
        <x:v>0</x:v>
      </x:c>
      <x:c r="I629" t="str">
        <x:v>Pago em dia</x:v>
      </x:c>
    </x:row>
    <x:row r="630">
      <x:c r="A630" t="str">
        <x:v>PAG-000629</x:v>
      </x:c>
      <x:c r="B630" t="str">
        <x:v>IMV-0064</x:v>
      </x:c>
      <x:c r="C630" s="38" t="n">
        <x:v>46113</x:v>
      </x:c>
      <x:c r="D630" s="32" t="n">
        <x:v>5650</x:v>
      </x:c>
      <x:c r="E630" s="32" t="n">
        <x:v>5650</x:v>
      </x:c>
      <x:c r="F630" s="36" t="n">
        <x:v>46122</x:v>
      </x:c>
      <x:c r="G630" s="36" t="n">
        <x:v>46122</x:v>
      </x:c>
      <x:c r="H630" t="n">
        <x:v>0</x:v>
      </x:c>
      <x:c r="I630" t="str">
        <x:v>Pago em dia</x:v>
      </x:c>
    </x:row>
    <x:row r="631">
      <x:c r="A631" t="str">
        <x:v>PAG-000630</x:v>
      </x:c>
      <x:c r="B631" t="str">
        <x:v>IMV-0064</x:v>
      </x:c>
      <x:c r="C631" s="38" t="n">
        <x:v>46082</x:v>
      </x:c>
      <x:c r="D631" s="32" t="n">
        <x:v>5650</x:v>
      </x:c>
      <x:c r="E631" s="32" t="n">
        <x:v>5650</x:v>
      </x:c>
      <x:c r="F631" s="36" t="n">
        <x:v>46091</x:v>
      </x:c>
      <x:c r="G631" s="36" t="n">
        <x:v>46091</x:v>
      </x:c>
      <x:c r="H631" t="n">
        <x:v>0</x:v>
      </x:c>
      <x:c r="I631" t="str">
        <x:v>Pago em dia</x:v>
      </x:c>
    </x:row>
    <x:row r="632">
      <x:c r="A632" t="str">
        <x:v>PAG-000631</x:v>
      </x:c>
      <x:c r="B632" t="str">
        <x:v>IMV-0064</x:v>
      </x:c>
      <x:c r="C632" s="38" t="n">
        <x:v>46054</x:v>
      </x:c>
      <x:c r="D632" s="32" t="n">
        <x:v>5650</x:v>
      </x:c>
      <x:c r="E632" s="32" t="n">
        <x:v>5650</x:v>
      </x:c>
      <x:c r="F632" s="36" t="n">
        <x:v>46063</x:v>
      </x:c>
      <x:c r="G632" s="36" t="n">
        <x:v>46063</x:v>
      </x:c>
      <x:c r="H632" t="n">
        <x:v>0</x:v>
      </x:c>
      <x:c r="I632" t="str">
        <x:v>Pago em dia</x:v>
      </x:c>
    </x:row>
    <x:row r="633">
      <x:c r="A633" t="str">
        <x:v>PAG-000632</x:v>
      </x:c>
      <x:c r="B633" t="str">
        <x:v>IMV-0064</x:v>
      </x:c>
      <x:c r="C633" s="38" t="n">
        <x:v>46023</x:v>
      </x:c>
      <x:c r="D633" s="32" t="n">
        <x:v>5650</x:v>
      </x:c>
      <x:c r="E633" s="32" t="n">
        <x:v>5650</x:v>
      </x:c>
      <x:c r="F633" s="36" t="n">
        <x:v>46032</x:v>
      </x:c>
      <x:c r="G633" s="36" t="n">
        <x:v>46037</x:v>
      </x:c>
      <x:c r="H633" t="n">
        <x:v>5</x:v>
      </x:c>
      <x:c r="I633" t="str">
        <x:v>Pago em atraso</x:v>
      </x:c>
    </x:row>
    <x:row r="634">
      <x:c r="A634" t="str">
        <x:v>PAG-000633</x:v>
      </x:c>
      <x:c r="B634" t="str">
        <x:v>IMV-0064</x:v>
      </x:c>
      <x:c r="C634" s="38" t="n">
        <x:v>45992</x:v>
      </x:c>
      <x:c r="D634" s="32" t="n">
        <x:v>5650</x:v>
      </x:c>
      <x:c r="E634" s="32" t="n">
        <x:v>5650</x:v>
      </x:c>
      <x:c r="F634" s="36" t="n">
        <x:v>46001</x:v>
      </x:c>
      <x:c r="G634" s="36" t="n">
        <x:v>46003</x:v>
      </x:c>
      <x:c r="H634" t="n">
        <x:v>2</x:v>
      </x:c>
      <x:c r="I634" t="str">
        <x:v>Pago em atraso</x:v>
      </x:c>
    </x:row>
    <x:row r="635">
      <x:c r="A635" t="str">
        <x:v>PAG-000634</x:v>
      </x:c>
      <x:c r="B635" t="str">
        <x:v>IMV-0064</x:v>
      </x:c>
      <x:c r="C635" s="38" t="n">
        <x:v>45962</x:v>
      </x:c>
      <x:c r="D635" s="32" t="n">
        <x:v>5650</x:v>
      </x:c>
      <x:c r="E635" s="32" t="n">
        <x:v>5650</x:v>
      </x:c>
      <x:c r="F635" s="36" t="n">
        <x:v>45971</x:v>
      </x:c>
      <x:c r="G635" s="36" t="n">
        <x:v>45971</x:v>
      </x:c>
      <x:c r="H635" t="n">
        <x:v>0</x:v>
      </x:c>
      <x:c r="I635" t="str">
        <x:v>Pago em dia</x:v>
      </x:c>
    </x:row>
    <x:row r="636">
      <x:c r="A636" t="str">
        <x:v>PAG-000635</x:v>
      </x:c>
      <x:c r="B636" t="str">
        <x:v>IMV-0064</x:v>
      </x:c>
      <x:c r="C636" s="38" t="n">
        <x:v>45931</x:v>
      </x:c>
      <x:c r="D636" s="32" t="n">
        <x:v>5650</x:v>
      </x:c>
      <x:c r="E636" s="32" t="n">
        <x:v>5650</x:v>
      </x:c>
      <x:c r="F636" s="36" t="n">
        <x:v>45940</x:v>
      </x:c>
      <x:c r="G636" s="36" t="n">
        <x:v>45940</x:v>
      </x:c>
      <x:c r="H636" t="n">
        <x:v>0</x:v>
      </x:c>
      <x:c r="I636" t="str">
        <x:v>Pago em dia</x:v>
      </x:c>
    </x:row>
    <x:row r="637">
      <x:c r="A637" t="str">
        <x:v>PAG-000636</x:v>
      </x:c>
      <x:c r="B637" t="str">
        <x:v>IMV-0064</x:v>
      </x:c>
      <x:c r="C637" s="38" t="n">
        <x:v>45901</x:v>
      </x:c>
      <x:c r="D637" s="32" t="n">
        <x:v>5650</x:v>
      </x:c>
      <x:c r="E637" s="32" t="n">
        <x:v>5650</x:v>
      </x:c>
      <x:c r="F637" s="36" t="n">
        <x:v>45910</x:v>
      </x:c>
      <x:c r="G637" s="36" t="n">
        <x:v>45910</x:v>
      </x:c>
      <x:c r="H637" t="n">
        <x:v>0</x:v>
      </x:c>
      <x:c r="I637" t="str">
        <x:v>Pago em dia</x:v>
      </x:c>
    </x:row>
    <x:row r="638">
      <x:c r="A638" t="str">
        <x:v>PAG-000637</x:v>
      </x:c>
      <x:c r="B638" t="str">
        <x:v>IMV-0065</x:v>
      </x:c>
      <x:c r="C638" s="38" t="n">
        <x:v>46235</x:v>
      </x:c>
      <x:c r="D638" s="32" t="n">
        <x:v>4000</x:v>
      </x:c>
      <x:c r="E638" s="32" t="n">
        <x:v>4000</x:v>
      </x:c>
      <x:c r="F638" s="36" t="n">
        <x:v>46244</x:v>
      </x:c>
      <x:c r="G638" s="36" t="n">
        <x:v>46247</x:v>
      </x:c>
      <x:c r="H638" t="n">
        <x:v>3</x:v>
      </x:c>
      <x:c r="I638" t="str">
        <x:v>Pago em atraso</x:v>
      </x:c>
    </x:row>
    <x:row r="639">
      <x:c r="A639" t="str">
        <x:v>PAG-000638</x:v>
      </x:c>
      <x:c r="B639" t="str">
        <x:v>IMV-0065</x:v>
      </x:c>
      <x:c r="C639" s="38" t="n">
        <x:v>46204</x:v>
      </x:c>
      <x:c r="D639" s="32" t="n">
        <x:v>4000</x:v>
      </x:c>
      <x:c r="E639" s="32" t="n">
        <x:v>4000</x:v>
      </x:c>
      <x:c r="F639" s="36" t="n">
        <x:v>46213</x:v>
      </x:c>
      <x:c r="G639" s="36" t="n">
        <x:v>46213</x:v>
      </x:c>
      <x:c r="H639" t="n">
        <x:v>0</x:v>
      </x:c>
      <x:c r="I639" t="str">
        <x:v>Pago em dia</x:v>
      </x:c>
    </x:row>
    <x:row r="640">
      <x:c r="A640" t="str">
        <x:v>PAG-000639</x:v>
      </x:c>
      <x:c r="B640" t="str">
        <x:v>IMV-0065</x:v>
      </x:c>
      <x:c r="C640" s="38" t="n">
        <x:v>46174</x:v>
      </x:c>
      <x:c r="D640" s="32" t="n">
        <x:v>4000</x:v>
      </x:c>
      <x:c r="E640" s="32" t="n">
        <x:v>4000</x:v>
      </x:c>
      <x:c r="F640" s="36" t="n">
        <x:v>46183</x:v>
      </x:c>
      <x:c r="G640" s="36" t="n">
        <x:v>46185</x:v>
      </x:c>
      <x:c r="H640" t="n">
        <x:v>2</x:v>
      </x:c>
      <x:c r="I640" t="str">
        <x:v>Pago em atraso</x:v>
      </x:c>
    </x:row>
    <x:row r="641">
      <x:c r="A641" t="str">
        <x:v>PAG-000640</x:v>
      </x:c>
      <x:c r="B641" t="str">
        <x:v>IMV-0065</x:v>
      </x:c>
      <x:c r="C641" s="38" t="n">
        <x:v>46143</x:v>
      </x:c>
      <x:c r="D641" s="32" t="n">
        <x:v>4000</x:v>
      </x:c>
      <x:c r="E641" s="32" t="n">
        <x:v>4000</x:v>
      </x:c>
      <x:c r="F641" s="36" t="n">
        <x:v>46152</x:v>
      </x:c>
      <x:c r="G641" s="36" t="n">
        <x:v>46152</x:v>
      </x:c>
      <x:c r="H641" t="n">
        <x:v>0</x:v>
      </x:c>
      <x:c r="I641" t="str">
        <x:v>Pago em dia</x:v>
      </x:c>
    </x:row>
    <x:row r="642">
      <x:c r="A642" t="str">
        <x:v>PAG-000641</x:v>
      </x:c>
      <x:c r="B642" t="str">
        <x:v>IMV-0065</x:v>
      </x:c>
      <x:c r="C642" s="38" t="n">
        <x:v>46113</x:v>
      </x:c>
      <x:c r="D642" s="32" t="n">
        <x:v>4000</x:v>
      </x:c>
      <x:c r="E642" s="32" t="n">
        <x:v>4000</x:v>
      </x:c>
      <x:c r="F642" s="36" t="n">
        <x:v>46122</x:v>
      </x:c>
      <x:c r="G642" s="36" t="n">
        <x:v>46122</x:v>
      </x:c>
      <x:c r="H642" t="n">
        <x:v>0</x:v>
      </x:c>
      <x:c r="I642" t="str">
        <x:v>Pago em dia</x:v>
      </x:c>
    </x:row>
    <x:row r="643">
      <x:c r="A643" t="str">
        <x:v>PAG-000642</x:v>
      </x:c>
      <x:c r="B643" t="str">
        <x:v>IMV-0065</x:v>
      </x:c>
      <x:c r="C643" s="38" t="n">
        <x:v>46082</x:v>
      </x:c>
      <x:c r="D643" s="32" t="n">
        <x:v>4000</x:v>
      </x:c>
      <x:c r="E643" s="32" t="n">
        <x:v>4000</x:v>
      </x:c>
      <x:c r="F643" s="36" t="n">
        <x:v>46091</x:v>
      </x:c>
      <x:c r="G643" s="36" t="n">
        <x:v>46091</x:v>
      </x:c>
      <x:c r="H643" t="n">
        <x:v>0</x:v>
      </x:c>
      <x:c r="I643" t="str">
        <x:v>Pago em dia</x:v>
      </x:c>
    </x:row>
    <x:row r="644">
      <x:c r="A644" t="str">
        <x:v>PAG-000643</x:v>
      </x:c>
      <x:c r="B644" t="str">
        <x:v>IMV-0065</x:v>
      </x:c>
      <x:c r="C644" s="38" t="n">
        <x:v>46054</x:v>
      </x:c>
      <x:c r="D644" s="32" t="n">
        <x:v>4000</x:v>
      </x:c>
      <x:c r="E644" s="32" t="n">
        <x:v>4000</x:v>
      </x:c>
      <x:c r="F644" s="36" t="n">
        <x:v>46063</x:v>
      </x:c>
      <x:c r="G644" s="36" t="n">
        <x:v>46063</x:v>
      </x:c>
      <x:c r="H644" t="n">
        <x:v>0</x:v>
      </x:c>
      <x:c r="I644" t="str">
        <x:v>Pago em dia</x:v>
      </x:c>
    </x:row>
    <x:row r="645">
      <x:c r="A645" t="str">
        <x:v>PAG-000644</x:v>
      </x:c>
      <x:c r="B645" t="str">
        <x:v>IMV-0065</x:v>
      </x:c>
      <x:c r="C645" s="38" t="n">
        <x:v>46023</x:v>
      </x:c>
      <x:c r="D645" s="32" t="n">
        <x:v>4000</x:v>
      </x:c>
      <x:c r="E645" s="32" t="n">
        <x:v>4000</x:v>
      </x:c>
      <x:c r="F645" s="36" t="n">
        <x:v>46032</x:v>
      </x:c>
      <x:c r="G645" s="36" t="n">
        <x:v>46035</x:v>
      </x:c>
      <x:c r="H645" t="n">
        <x:v>3</x:v>
      </x:c>
      <x:c r="I645" t="str">
        <x:v>Pago em atraso</x:v>
      </x:c>
    </x:row>
    <x:row r="646">
      <x:c r="A646" t="str">
        <x:v>PAG-000645</x:v>
      </x:c>
      <x:c r="B646" t="str">
        <x:v>IMV-0065</x:v>
      </x:c>
      <x:c r="C646" s="38" t="n">
        <x:v>45992</x:v>
      </x:c>
      <x:c r="D646" s="32" t="n">
        <x:v>4000</x:v>
      </x:c>
      <x:c r="E646" s="32" t="n">
        <x:v>4000</x:v>
      </x:c>
      <x:c r="F646" s="36" t="n">
        <x:v>46001</x:v>
      </x:c>
      <x:c r="G646" s="36" t="n">
        <x:v>46002</x:v>
      </x:c>
      <x:c r="H646" t="n">
        <x:v>1</x:v>
      </x:c>
      <x:c r="I646" t="str">
        <x:v>Pago em atraso</x:v>
      </x:c>
    </x:row>
    <x:row r="647">
      <x:c r="A647" t="str">
        <x:v>PAG-000646</x:v>
      </x:c>
      <x:c r="B647" t="str">
        <x:v>IMV-0065</x:v>
      </x:c>
      <x:c r="C647" s="38" t="n">
        <x:v>45962</x:v>
      </x:c>
      <x:c r="D647" s="32" t="n">
        <x:v>4000</x:v>
      </x:c>
      <x:c r="E647" s="32" t="n">
        <x:v>4000</x:v>
      </x:c>
      <x:c r="F647" s="36" t="n">
        <x:v>45971</x:v>
      </x:c>
      <x:c r="G647" s="36" t="n">
        <x:v>45974</x:v>
      </x:c>
      <x:c r="H647" t="n">
        <x:v>3</x:v>
      </x:c>
      <x:c r="I647" t="str">
        <x:v>Pago em atraso</x:v>
      </x:c>
    </x:row>
    <x:row r="648">
      <x:c r="A648" t="str">
        <x:v>PAG-000647</x:v>
      </x:c>
      <x:c r="B648" t="str">
        <x:v>IMV-0065</x:v>
      </x:c>
      <x:c r="C648" s="38" t="n">
        <x:v>45931</x:v>
      </x:c>
      <x:c r="D648" s="32" t="n">
        <x:v>4000</x:v>
      </x:c>
      <x:c r="E648" s="32" t="n">
        <x:v>4000</x:v>
      </x:c>
      <x:c r="F648" s="36" t="n">
        <x:v>45940</x:v>
      </x:c>
      <x:c r="G648" s="36" t="n">
        <x:v>45940</x:v>
      </x:c>
      <x:c r="H648" t="n">
        <x:v>0</x:v>
      </x:c>
      <x:c r="I648" t="str">
        <x:v>Pago em dia</x:v>
      </x:c>
    </x:row>
    <x:row r="649">
      <x:c r="A649" t="str">
        <x:v>PAG-000648</x:v>
      </x:c>
      <x:c r="B649" t="str">
        <x:v>IMV-0065</x:v>
      </x:c>
      <x:c r="C649" s="38" t="n">
        <x:v>45901</x:v>
      </x:c>
      <x:c r="D649" s="32" t="n">
        <x:v>4000</x:v>
      </x:c>
      <x:c r="E649" s="32" t="n">
        <x:v>4000</x:v>
      </x:c>
      <x:c r="F649" s="36" t="n">
        <x:v>45910</x:v>
      </x:c>
      <x:c r="G649" s="36" t="n">
        <x:v>45912</x:v>
      </x:c>
      <x:c r="H649" t="n">
        <x:v>2</x:v>
      </x:c>
      <x:c r="I649" t="str">
        <x:v>Pago em atraso</x:v>
      </x:c>
    </x:row>
    <x:row r="650">
      <x:c r="A650" t="str">
        <x:v>PAG-000649</x:v>
      </x:c>
      <x:c r="B650" t="str">
        <x:v>IMV-0066</x:v>
      </x:c>
      <x:c r="C650" s="38" t="n">
        <x:v>46235</x:v>
      </x:c>
      <x:c r="D650" s="32" t="n">
        <x:v>4550</x:v>
      </x:c>
      <x:c r="E650" s="32" t="n">
        <x:v>4550</x:v>
      </x:c>
      <x:c r="F650" s="36" t="n">
        <x:v>46244</x:v>
      </x:c>
      <x:c r="G650" s="36" t="n">
        <x:v>46264</x:v>
      </x:c>
      <x:c r="H650" t="n">
        <x:v>20</x:v>
      </x:c>
      <x:c r="I650" t="str">
        <x:v>Pago em atraso</x:v>
      </x:c>
    </x:row>
    <x:row r="651">
      <x:c r="A651" t="str">
        <x:v>PAG-000650</x:v>
      </x:c>
      <x:c r="B651" t="str">
        <x:v>IMV-0066</x:v>
      </x:c>
      <x:c r="C651" s="38" t="n">
        <x:v>46204</x:v>
      </x:c>
      <x:c r="D651" s="32" t="n">
        <x:v>4550</x:v>
      </x:c>
      <x:c r="E651" s="32" t="n">
        <x:v>4550</x:v>
      </x:c>
      <x:c r="F651" s="36" t="n">
        <x:v>46213</x:v>
      </x:c>
      <x:c r="G651" s="36" t="n">
        <x:v>46233</x:v>
      </x:c>
      <x:c r="H651" t="n">
        <x:v>20</x:v>
      </x:c>
      <x:c r="I651" t="str">
        <x:v>Pago em atraso</x:v>
      </x:c>
    </x:row>
    <x:row r="652">
      <x:c r="A652" t="str">
        <x:v>PAG-000651</x:v>
      </x:c>
      <x:c r="B652" t="str">
        <x:v>IMV-0066</x:v>
      </x:c>
      <x:c r="C652" s="38" t="n">
        <x:v>46174</x:v>
      </x:c>
      <x:c r="D652" s="32" t="n">
        <x:v>4550</x:v>
      </x:c>
      <x:c r="E652" s="32" t="n">
        <x:v>4550</x:v>
      </x:c>
      <x:c r="F652" s="36" t="n">
        <x:v>46183</x:v>
      </x:c>
      <x:c r="G652" s="36" t="n">
        <x:v>46195</x:v>
      </x:c>
      <x:c r="H652" t="n">
        <x:v>12</x:v>
      </x:c>
      <x:c r="I652" t="str">
        <x:v>Pago em atraso</x:v>
      </x:c>
    </x:row>
    <x:row r="653">
      <x:c r="A653" t="str">
        <x:v>PAG-000652</x:v>
      </x:c>
      <x:c r="B653" t="str">
        <x:v>IMV-0066</x:v>
      </x:c>
      <x:c r="C653" s="38" t="n">
        <x:v>46143</x:v>
      </x:c>
      <x:c r="D653" s="32" t="n">
        <x:v>4550</x:v>
      </x:c>
      <x:c r="E653" s="32" t="n">
        <x:v>4550</x:v>
      </x:c>
      <x:c r="F653" s="36" t="n">
        <x:v>46152</x:v>
      </x:c>
      <x:c r="G653" s="36" t="n">
        <x:v>46164</x:v>
      </x:c>
      <x:c r="H653" t="n">
        <x:v>12</x:v>
      </x:c>
      <x:c r="I653" t="str">
        <x:v>Pago em atraso</x:v>
      </x:c>
    </x:row>
    <x:row r="654">
      <x:c r="A654" t="str">
        <x:v>PAG-000653</x:v>
      </x:c>
      <x:c r="B654" t="str">
        <x:v>IMV-0066</x:v>
      </x:c>
      <x:c r="C654" s="38" t="n">
        <x:v>46113</x:v>
      </x:c>
      <x:c r="D654" s="32" t="n">
        <x:v>4550</x:v>
      </x:c>
      <x:c r="E654" s="32" t="n">
        <x:v>4550</x:v>
      </x:c>
      <x:c r="F654" s="36" t="n">
        <x:v>46122</x:v>
      </x:c>
      <x:c r="G654" s="36" t="n">
        <x:v>46182</x:v>
      </x:c>
      <x:c r="H654" t="n">
        <x:v>60</x:v>
      </x:c>
      <x:c r="I654" t="str">
        <x:v>Pago em atraso</x:v>
      </x:c>
    </x:row>
    <x:row r="655">
      <x:c r="A655" t="str">
        <x:v>PAG-000654</x:v>
      </x:c>
      <x:c r="B655" t="str">
        <x:v>IMV-0066</x:v>
      </x:c>
      <x:c r="C655" s="38" t="n">
        <x:v>46082</x:v>
      </x:c>
      <x:c r="D655" s="32" t="n">
        <x:v>4550</x:v>
      </x:c>
      <x:c r="E655" s="32" t="n">
        <x:v>4550</x:v>
      </x:c>
      <x:c r="F655" s="36" t="n">
        <x:v>46091</x:v>
      </x:c>
      <x:c r="G655" s="36" t="n">
        <x:v>46111</x:v>
      </x:c>
      <x:c r="H655" t="n">
        <x:v>20</x:v>
      </x:c>
      <x:c r="I655" t="str">
        <x:v>Pago em atraso</x:v>
      </x:c>
    </x:row>
    <x:row r="656">
      <x:c r="A656" t="str">
        <x:v>PAG-000655</x:v>
      </x:c>
      <x:c r="B656" t="str">
        <x:v>IMV-0066</x:v>
      </x:c>
      <x:c r="C656" s="38" t="n">
        <x:v>46054</x:v>
      </x:c>
      <x:c r="D656" s="32" t="n">
        <x:v>4550</x:v>
      </x:c>
      <x:c r="E656" s="32" t="n">
        <x:v>4550</x:v>
      </x:c>
      <x:c r="F656" s="36" t="n">
        <x:v>46063</x:v>
      </x:c>
      <x:c r="G656" s="36" t="n">
        <x:v>46083</x:v>
      </x:c>
      <x:c r="H656" t="n">
        <x:v>20</x:v>
      </x:c>
      <x:c r="I656" t="str">
        <x:v>Pago em atraso</x:v>
      </x:c>
    </x:row>
    <x:row r="657">
      <x:c r="A657" t="str">
        <x:v>PAG-000656</x:v>
      </x:c>
      <x:c r="B657" t="str">
        <x:v>IMV-0066</x:v>
      </x:c>
      <x:c r="C657" s="38" t="n">
        <x:v>46023</x:v>
      </x:c>
      <x:c r="D657" s="32" t="n">
        <x:v>4550</x:v>
      </x:c>
      <x:c r="E657" s="32" t="n">
        <x:v>4550</x:v>
      </x:c>
      <x:c r="F657" s="36" t="n">
        <x:v>46032</x:v>
      </x:c>
      <x:c r="G657" s="36" t="n">
        <x:v>46067</x:v>
      </x:c>
      <x:c r="H657" t="n">
        <x:v>35</x:v>
      </x:c>
      <x:c r="I657" t="str">
        <x:v>Pago em atraso</x:v>
      </x:c>
    </x:row>
    <x:row r="658">
      <x:c r="A658" t="str">
        <x:v>PAG-000657</x:v>
      </x:c>
      <x:c r="B658" t="str">
        <x:v>IMV-0066</x:v>
      </x:c>
      <x:c r="C658" s="38" t="n">
        <x:v>45992</x:v>
      </x:c>
      <x:c r="D658" s="32" t="n">
        <x:v>4550</x:v>
      </x:c>
      <x:c r="E658" s="32" t="n">
        <x:v>4550</x:v>
      </x:c>
      <x:c r="F658" s="36" t="n">
        <x:v>46001</x:v>
      </x:c>
      <x:c r="G658" s="36" t="n">
        <x:v>46061</x:v>
      </x:c>
      <x:c r="H658" t="n">
        <x:v>60</x:v>
      </x:c>
      <x:c r="I658" t="str">
        <x:v>Pago em atraso</x:v>
      </x:c>
    </x:row>
    <x:row r="659">
      <x:c r="A659" t="str">
        <x:v>PAG-000658</x:v>
      </x:c>
      <x:c r="B659" t="str">
        <x:v>IMV-0066</x:v>
      </x:c>
      <x:c r="C659" s="38" t="n">
        <x:v>45962</x:v>
      </x:c>
      <x:c r="D659" s="32" t="n">
        <x:v>4550</x:v>
      </x:c>
      <x:c r="E659" s="32" t="n">
        <x:v>4550</x:v>
      </x:c>
      <x:c r="F659" s="36" t="n">
        <x:v>45971</x:v>
      </x:c>
      <x:c r="G659" s="36" t="n">
        <x:v>45991</x:v>
      </x:c>
      <x:c r="H659" t="n">
        <x:v>20</x:v>
      </x:c>
      <x:c r="I659" t="str">
        <x:v>Pago em atraso</x:v>
      </x:c>
    </x:row>
    <x:row r="660">
      <x:c r="A660" t="str">
        <x:v>PAG-000659</x:v>
      </x:c>
      <x:c r="B660" t="str">
        <x:v>IMV-0066</x:v>
      </x:c>
      <x:c r="C660" s="38" t="n">
        <x:v>45931</x:v>
      </x:c>
      <x:c r="D660" s="32" t="n">
        <x:v>4550</x:v>
      </x:c>
      <x:c r="E660" s="32" t="n">
        <x:v>4550</x:v>
      </x:c>
      <x:c r="F660" s="36" t="n">
        <x:v>45940</x:v>
      </x:c>
      <x:c r="G660" s="36" t="n">
        <x:v>45960</x:v>
      </x:c>
      <x:c r="H660" t="n">
        <x:v>20</x:v>
      </x:c>
      <x:c r="I660" t="str">
        <x:v>Pago em atraso</x:v>
      </x:c>
    </x:row>
    <x:row r="661">
      <x:c r="A661" t="str">
        <x:v>PAG-000660</x:v>
      </x:c>
      <x:c r="B661" t="str">
        <x:v>IMV-0066</x:v>
      </x:c>
      <x:c r="C661" s="38" t="n">
        <x:v>45901</x:v>
      </x:c>
      <x:c r="D661" s="32" t="n">
        <x:v>4550</x:v>
      </x:c>
      <x:c r="E661" s="32" t="n">
        <x:v>4550</x:v>
      </x:c>
      <x:c r="F661" s="36" t="n">
        <x:v>45910</x:v>
      </x:c>
      <x:c r="G661" s="36" t="n">
        <x:v>45970</x:v>
      </x:c>
      <x:c r="H661" t="n">
        <x:v>60</x:v>
      </x:c>
      <x:c r="I661" t="str">
        <x:v>Pago em atraso</x:v>
      </x:c>
    </x:row>
    <x:row r="662">
      <x:c r="A662" t="str">
        <x:v>PAG-000661</x:v>
      </x:c>
      <x:c r="B662" t="str">
        <x:v>IMV-0067</x:v>
      </x:c>
      <x:c r="C662" s="38" t="n">
        <x:v>46235</x:v>
      </x:c>
      <x:c r="D662" s="32" t="n">
        <x:v>1400</x:v>
      </x:c>
      <x:c r="E662" s="32" t="n">
        <x:v>1400</x:v>
      </x:c>
      <x:c r="F662" s="36" t="n">
        <x:v>46244</x:v>
      </x:c>
      <x:c r="G662" s="36" t="n">
        <x:v>46251</x:v>
      </x:c>
      <x:c r="H662" t="n">
        <x:v>7</x:v>
      </x:c>
      <x:c r="I662" t="str">
        <x:v>Pago em atraso</x:v>
      </x:c>
    </x:row>
    <x:row r="663">
      <x:c r="A663" t="str">
        <x:v>PAG-000662</x:v>
      </x:c>
      <x:c r="B663" t="str">
        <x:v>IMV-0067</x:v>
      </x:c>
      <x:c r="C663" s="38" t="n">
        <x:v>46204</x:v>
      </x:c>
      <x:c r="D663" s="32" t="n">
        <x:v>1400</x:v>
      </x:c>
      <x:c r="E663" s="32" t="n">
        <x:v>1400</x:v>
      </x:c>
      <x:c r="F663" s="36" t="n">
        <x:v>46213</x:v>
      </x:c>
      <x:c r="G663" s="36" t="n">
        <x:v>46225</x:v>
      </x:c>
      <x:c r="H663" t="n">
        <x:v>12</x:v>
      </x:c>
      <x:c r="I663" t="str">
        <x:v>Pago em atraso</x:v>
      </x:c>
    </x:row>
    <x:row r="664">
      <x:c r="A664" t="str">
        <x:v>PAG-000663</x:v>
      </x:c>
      <x:c r="B664" t="str">
        <x:v>IMV-0067</x:v>
      </x:c>
      <x:c r="C664" s="38" t="n">
        <x:v>46174</x:v>
      </x:c>
      <x:c r="D664" s="32" t="n">
        <x:v>1400</x:v>
      </x:c>
      <x:c r="E664" s="32" t="n">
        <x:v>1400</x:v>
      </x:c>
      <x:c r="F664" s="36" t="n">
        <x:v>46183</x:v>
      </x:c>
      <x:c r="G664" s="36" t="n">
        <x:v>46195</x:v>
      </x:c>
      <x:c r="H664" t="n">
        <x:v>12</x:v>
      </x:c>
      <x:c r="I664" t="str">
        <x:v>Pago em atraso</x:v>
      </x:c>
    </x:row>
    <x:row r="665">
      <x:c r="A665" t="str">
        <x:v>PAG-000664</x:v>
      </x:c>
      <x:c r="B665" t="str">
        <x:v>IMV-0067</x:v>
      </x:c>
      <x:c r="C665" s="38" t="n">
        <x:v>46143</x:v>
      </x:c>
      <x:c r="D665" s="32" t="n">
        <x:v>1400</x:v>
      </x:c>
      <x:c r="E665" s="32" t="n">
        <x:v>1400</x:v>
      </x:c>
      <x:c r="F665" s="36" t="n">
        <x:v>46152</x:v>
      </x:c>
      <x:c r="G665" s="36" t="n">
        <x:v>46159</x:v>
      </x:c>
      <x:c r="H665" t="n">
        <x:v>7</x:v>
      </x:c>
      <x:c r="I665" t="str">
        <x:v>Pago em atraso</x:v>
      </x:c>
    </x:row>
    <x:row r="666">
      <x:c r="A666" t="str">
        <x:v>PAG-000665</x:v>
      </x:c>
      <x:c r="B666" t="str">
        <x:v>IMV-0067</x:v>
      </x:c>
      <x:c r="C666" s="38" t="n">
        <x:v>46113</x:v>
      </x:c>
      <x:c r="D666" s="32" t="n">
        <x:v>1400</x:v>
      </x:c>
      <x:c r="E666" s="32" t="n">
        <x:v>1400</x:v>
      </x:c>
      <x:c r="F666" s="36" t="n">
        <x:v>46122</x:v>
      </x:c>
      <x:c r="G666" s="36" t="n">
        <x:v>46125</x:v>
      </x:c>
      <x:c r="H666" t="n">
        <x:v>3</x:v>
      </x:c>
      <x:c r="I666" t="str">
        <x:v>Pago em atraso</x:v>
      </x:c>
    </x:row>
    <x:row r="667">
      <x:c r="A667" t="str">
        <x:v>PAG-000666</x:v>
      </x:c>
      <x:c r="B667" t="str">
        <x:v>IMV-0067</x:v>
      </x:c>
      <x:c r="C667" s="38" t="n">
        <x:v>46082</x:v>
      </x:c>
      <x:c r="D667" s="32" t="n">
        <x:v>1400</x:v>
      </x:c>
      <x:c r="E667" s="32" t="n">
        <x:v>1400</x:v>
      </x:c>
      <x:c r="F667" s="36" t="n">
        <x:v>46091</x:v>
      </x:c>
      <x:c r="G667" s="36" t="n">
        <x:v>46111</x:v>
      </x:c>
      <x:c r="H667" t="n">
        <x:v>20</x:v>
      </x:c>
      <x:c r="I667" t="str">
        <x:v>Pago em atraso</x:v>
      </x:c>
    </x:row>
    <x:row r="668">
      <x:c r="A668" t="str">
        <x:v>PAG-000667</x:v>
      </x:c>
      <x:c r="B668" t="str">
        <x:v>IMV-0067</x:v>
      </x:c>
      <x:c r="C668" s="38" t="n">
        <x:v>46054</x:v>
      </x:c>
      <x:c r="D668" s="32" t="n">
        <x:v>1400</x:v>
      </x:c>
      <x:c r="E668" s="32" t="n">
        <x:v>1400</x:v>
      </x:c>
      <x:c r="F668" s="36" t="n">
        <x:v>46063</x:v>
      </x:c>
      <x:c r="G668" s="36" t="n">
        <x:v>46075</x:v>
      </x:c>
      <x:c r="H668" t="n">
        <x:v>12</x:v>
      </x:c>
      <x:c r="I668" t="str">
        <x:v>Pago em atraso</x:v>
      </x:c>
    </x:row>
    <x:row r="669">
      <x:c r="A669" t="str">
        <x:v>PAG-000668</x:v>
      </x:c>
      <x:c r="B669" t="str">
        <x:v>IMV-0067</x:v>
      </x:c>
      <x:c r="C669" s="38" t="n">
        <x:v>46023</x:v>
      </x:c>
      <x:c r="D669" s="32" t="n">
        <x:v>1400</x:v>
      </x:c>
      <x:c r="E669" s="32" t="n">
        <x:v>1400</x:v>
      </x:c>
      <x:c r="F669" s="36" t="n">
        <x:v>46032</x:v>
      </x:c>
      <x:c r="G669" s="36" t="n">
        <x:v>46035</x:v>
      </x:c>
      <x:c r="H669" t="n">
        <x:v>3</x:v>
      </x:c>
      <x:c r="I669" t="str">
        <x:v>Pago em atraso</x:v>
      </x:c>
    </x:row>
    <x:row r="670">
      <x:c r="A670" t="str">
        <x:v>PAG-000669</x:v>
      </x:c>
      <x:c r="B670" t="str">
        <x:v>IMV-0067</x:v>
      </x:c>
      <x:c r="C670" s="38" t="n">
        <x:v>45992</x:v>
      </x:c>
      <x:c r="D670" s="32" t="n">
        <x:v>1400</x:v>
      </x:c>
      <x:c r="E670" s="32" t="n">
        <x:v>1400</x:v>
      </x:c>
      <x:c r="F670" s="36" t="n">
        <x:v>46001</x:v>
      </x:c>
      <x:c r="G670" s="36" t="n">
        <x:v>46021</x:v>
      </x:c>
      <x:c r="H670" t="n">
        <x:v>20</x:v>
      </x:c>
      <x:c r="I670" t="str">
        <x:v>Pago em atraso</x:v>
      </x:c>
    </x:row>
    <x:row r="671">
      <x:c r="A671" t="str">
        <x:v>PAG-000670</x:v>
      </x:c>
      <x:c r="B671" t="str">
        <x:v>IMV-0067</x:v>
      </x:c>
      <x:c r="C671" s="38" t="n">
        <x:v>45962</x:v>
      </x:c>
      <x:c r="D671" s="32" t="n">
        <x:v>1400</x:v>
      </x:c>
      <x:c r="E671" s="32" t="n">
        <x:v>1400</x:v>
      </x:c>
      <x:c r="F671" s="36" t="n">
        <x:v>45971</x:v>
      </x:c>
      <x:c r="G671" s="36" t="n">
        <x:v>45983</x:v>
      </x:c>
      <x:c r="H671" t="n">
        <x:v>12</x:v>
      </x:c>
      <x:c r="I671" t="str">
        <x:v>Pago em atraso</x:v>
      </x:c>
    </x:row>
    <x:row r="672">
      <x:c r="A672" t="str">
        <x:v>PAG-000671</x:v>
      </x:c>
      <x:c r="B672" t="str">
        <x:v>IMV-0067</x:v>
      </x:c>
      <x:c r="C672" s="38" t="n">
        <x:v>45931</x:v>
      </x:c>
      <x:c r="D672" s="32" t="n">
        <x:v>1400</x:v>
      </x:c>
      <x:c r="E672" s="32" t="n">
        <x:v>1400</x:v>
      </x:c>
      <x:c r="F672" s="36" t="n">
        <x:v>45940</x:v>
      </x:c>
      <x:c r="G672" s="36" t="n">
        <x:v>45947</x:v>
      </x:c>
      <x:c r="H672" t="n">
        <x:v>7</x:v>
      </x:c>
      <x:c r="I672" t="str">
        <x:v>Pago em atraso</x:v>
      </x:c>
    </x:row>
    <x:row r="673">
      <x:c r="A673" t="str">
        <x:v>PAG-000672</x:v>
      </x:c>
      <x:c r="B673" t="str">
        <x:v>IMV-0067</x:v>
      </x:c>
      <x:c r="C673" s="38" t="n">
        <x:v>45901</x:v>
      </x:c>
      <x:c r="D673" s="32" t="n">
        <x:v>1400</x:v>
      </x:c>
      <x:c r="E673" s="32" t="n">
        <x:v>1400</x:v>
      </x:c>
      <x:c r="F673" s="36" t="n">
        <x:v>45910</x:v>
      </x:c>
      <x:c r="G673" s="36" t="n">
        <x:v>45930</x:v>
      </x:c>
      <x:c r="H673" t="n">
        <x:v>20</x:v>
      </x:c>
      <x:c r="I673" t="str">
        <x:v>Pago em atraso</x:v>
      </x:c>
    </x:row>
    <x:row r="674">
      <x:c r="A674" t="str">
        <x:v>PAG-000673</x:v>
      </x:c>
      <x:c r="B674" t="str">
        <x:v>IMV-0068</x:v>
      </x:c>
      <x:c r="C674" s="38" t="n">
        <x:v>46235</x:v>
      </x:c>
      <x:c r="D674" s="32" t="n">
        <x:v>4550</x:v>
      </x:c>
      <x:c r="E674" s="32" t="n">
        <x:v>4550</x:v>
      </x:c>
      <x:c r="F674" s="36" t="n">
        <x:v>46244</x:v>
      </x:c>
      <x:c r="G674" s="36" t="n">
        <x:v>46244</x:v>
      </x:c>
      <x:c r="H674" t="n">
        <x:v>0</x:v>
      </x:c>
      <x:c r="I674" t="str">
        <x:v>Pago em dia</x:v>
      </x:c>
    </x:row>
    <x:row r="675">
      <x:c r="A675" t="str">
        <x:v>PAG-000674</x:v>
      </x:c>
      <x:c r="B675" t="str">
        <x:v>IMV-0068</x:v>
      </x:c>
      <x:c r="C675" s="38" t="n">
        <x:v>46204</x:v>
      </x:c>
      <x:c r="D675" s="32" t="n">
        <x:v>4550</x:v>
      </x:c>
      <x:c r="E675" s="32" t="n">
        <x:v>4550</x:v>
      </x:c>
      <x:c r="F675" s="36" t="n">
        <x:v>46213</x:v>
      </x:c>
      <x:c r="G675" s="36" t="n">
        <x:v>46213</x:v>
      </x:c>
      <x:c r="H675" t="n">
        <x:v>0</x:v>
      </x:c>
      <x:c r="I675" t="str">
        <x:v>Pago em dia</x:v>
      </x:c>
    </x:row>
    <x:row r="676">
      <x:c r="A676" t="str">
        <x:v>PAG-000675</x:v>
      </x:c>
      <x:c r="B676" t="str">
        <x:v>IMV-0068</x:v>
      </x:c>
      <x:c r="C676" s="38" t="n">
        <x:v>46174</x:v>
      </x:c>
      <x:c r="D676" s="32" t="n">
        <x:v>4550</x:v>
      </x:c>
      <x:c r="E676" s="32" t="n">
        <x:v>4550</x:v>
      </x:c>
      <x:c r="F676" s="36" t="n">
        <x:v>46183</x:v>
      </x:c>
      <x:c r="G676" s="36" t="n">
        <x:v>46183</x:v>
      </x:c>
      <x:c r="H676" t="n">
        <x:v>0</x:v>
      </x:c>
      <x:c r="I676" t="str">
        <x:v>Pago em dia</x:v>
      </x:c>
    </x:row>
    <x:row r="677">
      <x:c r="A677" t="str">
        <x:v>PAG-000676</x:v>
      </x:c>
      <x:c r="B677" t="str">
        <x:v>IMV-0068</x:v>
      </x:c>
      <x:c r="C677" s="38" t="n">
        <x:v>46143</x:v>
      </x:c>
      <x:c r="D677" s="32" t="n">
        <x:v>4550</x:v>
      </x:c>
      <x:c r="E677" s="32" t="n">
        <x:v>4550</x:v>
      </x:c>
      <x:c r="F677" s="36" t="n">
        <x:v>46152</x:v>
      </x:c>
      <x:c r="G677" s="36" t="n">
        <x:v>46152</x:v>
      </x:c>
      <x:c r="H677" t="n">
        <x:v>0</x:v>
      </x:c>
      <x:c r="I677" t="str">
        <x:v>Pago em dia</x:v>
      </x:c>
    </x:row>
    <x:row r="678">
      <x:c r="A678" t="str">
        <x:v>PAG-000677</x:v>
      </x:c>
      <x:c r="B678" t="str">
        <x:v>IMV-0068</x:v>
      </x:c>
      <x:c r="C678" s="38" t="n">
        <x:v>46113</x:v>
      </x:c>
      <x:c r="D678" s="32" t="n">
        <x:v>4550</x:v>
      </x:c>
      <x:c r="E678" s="32" t="n">
        <x:v>4550</x:v>
      </x:c>
      <x:c r="F678" s="36" t="n">
        <x:v>46122</x:v>
      </x:c>
      <x:c r="G678" s="36" t="n">
        <x:v>46122</x:v>
      </x:c>
      <x:c r="H678" t="n">
        <x:v>0</x:v>
      </x:c>
      <x:c r="I678" t="str">
        <x:v>Pago em dia</x:v>
      </x:c>
    </x:row>
    <x:row r="679">
      <x:c r="A679" t="str">
        <x:v>PAG-000678</x:v>
      </x:c>
      <x:c r="B679" t="str">
        <x:v>IMV-0068</x:v>
      </x:c>
      <x:c r="C679" s="38" t="n">
        <x:v>46082</x:v>
      </x:c>
      <x:c r="D679" s="32" t="n">
        <x:v>4550</x:v>
      </x:c>
      <x:c r="E679" s="32" t="n">
        <x:v>4550</x:v>
      </x:c>
      <x:c r="F679" s="36" t="n">
        <x:v>46091</x:v>
      </x:c>
      <x:c r="G679" s="36" t="n">
        <x:v>46091</x:v>
      </x:c>
      <x:c r="H679" t="n">
        <x:v>0</x:v>
      </x:c>
      <x:c r="I679" t="str">
        <x:v>Pago em dia</x:v>
      </x:c>
    </x:row>
    <x:row r="680">
      <x:c r="A680" t="str">
        <x:v>PAG-000679</x:v>
      </x:c>
      <x:c r="B680" t="str">
        <x:v>IMV-0068</x:v>
      </x:c>
      <x:c r="C680" s="38" t="n">
        <x:v>46054</x:v>
      </x:c>
      <x:c r="D680" s="32" t="n">
        <x:v>4550</x:v>
      </x:c>
      <x:c r="E680" s="32" t="n">
        <x:v>4550</x:v>
      </x:c>
      <x:c r="F680" s="36" t="n">
        <x:v>46063</x:v>
      </x:c>
      <x:c r="G680" s="36" t="n">
        <x:v>46063</x:v>
      </x:c>
      <x:c r="H680" t="n">
        <x:v>0</x:v>
      </x:c>
      <x:c r="I680" t="str">
        <x:v>Pago em dia</x:v>
      </x:c>
    </x:row>
    <x:row r="681">
      <x:c r="A681" t="str">
        <x:v>PAG-000680</x:v>
      </x:c>
      <x:c r="B681" t="str">
        <x:v>IMV-0068</x:v>
      </x:c>
      <x:c r="C681" s="38" t="n">
        <x:v>46023</x:v>
      </x:c>
      <x:c r="D681" s="32" t="n">
        <x:v>4550</x:v>
      </x:c>
      <x:c r="E681" s="32" t="n">
        <x:v>4550</x:v>
      </x:c>
      <x:c r="F681" s="36" t="n">
        <x:v>46032</x:v>
      </x:c>
      <x:c r="G681" s="36" t="n">
        <x:v>46035</x:v>
      </x:c>
      <x:c r="H681" t="n">
        <x:v>3</x:v>
      </x:c>
      <x:c r="I681" t="str">
        <x:v>Pago em atraso</x:v>
      </x:c>
    </x:row>
    <x:row r="682">
      <x:c r="A682" t="str">
        <x:v>PAG-000681</x:v>
      </x:c>
      <x:c r="B682" t="str">
        <x:v>IMV-0068</x:v>
      </x:c>
      <x:c r="C682" s="38" t="n">
        <x:v>45992</x:v>
      </x:c>
      <x:c r="D682" s="32" t="n">
        <x:v>4550</x:v>
      </x:c>
      <x:c r="E682" s="32" t="n">
        <x:v>4550</x:v>
      </x:c>
      <x:c r="F682" s="36" t="n">
        <x:v>46001</x:v>
      </x:c>
      <x:c r="G682" s="36" t="n">
        <x:v>46003</x:v>
      </x:c>
      <x:c r="H682" t="n">
        <x:v>2</x:v>
      </x:c>
      <x:c r="I682" t="str">
        <x:v>Pago em atraso</x:v>
      </x:c>
    </x:row>
    <x:row r="683">
      <x:c r="A683" t="str">
        <x:v>PAG-000682</x:v>
      </x:c>
      <x:c r="B683" t="str">
        <x:v>IMV-0068</x:v>
      </x:c>
      <x:c r="C683" s="38" t="n">
        <x:v>45962</x:v>
      </x:c>
      <x:c r="D683" s="32" t="n">
        <x:v>4550</x:v>
      </x:c>
      <x:c r="E683" s="32" t="n">
        <x:v>4550</x:v>
      </x:c>
      <x:c r="F683" s="36" t="n">
        <x:v>45971</x:v>
      </x:c>
      <x:c r="G683" s="36" t="n">
        <x:v>45971</x:v>
      </x:c>
      <x:c r="H683" t="n">
        <x:v>0</x:v>
      </x:c>
      <x:c r="I683" t="str">
        <x:v>Pago em dia</x:v>
      </x:c>
    </x:row>
    <x:row r="684">
      <x:c r="A684" t="str">
        <x:v>PAG-000683</x:v>
      </x:c>
      <x:c r="B684" t="str">
        <x:v>IMV-0068</x:v>
      </x:c>
      <x:c r="C684" s="38" t="n">
        <x:v>45931</x:v>
      </x:c>
      <x:c r="D684" s="32" t="n">
        <x:v>4550</x:v>
      </x:c>
      <x:c r="E684" s="32" t="n">
        <x:v>4550</x:v>
      </x:c>
      <x:c r="F684" s="36" t="n">
        <x:v>45940</x:v>
      </x:c>
      <x:c r="G684" s="36" t="n">
        <x:v>45940</x:v>
      </x:c>
      <x:c r="H684" t="n">
        <x:v>0</x:v>
      </x:c>
      <x:c r="I684" t="str">
        <x:v>Pago em dia</x:v>
      </x:c>
    </x:row>
    <x:row r="685">
      <x:c r="A685" t="str">
        <x:v>PAG-000684</x:v>
      </x:c>
      <x:c r="B685" t="str">
        <x:v>IMV-0068</x:v>
      </x:c>
      <x:c r="C685" s="38" t="n">
        <x:v>45901</x:v>
      </x:c>
      <x:c r="D685" s="32" t="n">
        <x:v>4550</x:v>
      </x:c>
      <x:c r="E685" s="32" t="n">
        <x:v>4550</x:v>
      </x:c>
      <x:c r="F685" s="36" t="n">
        <x:v>45910</x:v>
      </x:c>
      <x:c r="G685" s="36" t="n">
        <x:v>45913</x:v>
      </x:c>
      <x:c r="H685" t="n">
        <x:v>3</x:v>
      </x:c>
      <x:c r="I685" t="str">
        <x:v>Pago em atraso</x:v>
      </x:c>
    </x:row>
    <x:row r="686">
      <x:c r="A686" t="str">
        <x:v>PAG-000685</x:v>
      </x:c>
      <x:c r="B686" t="str">
        <x:v>IMV-0069</x:v>
      </x:c>
      <x:c r="C686" s="38" t="n">
        <x:v>46235</x:v>
      </x:c>
      <x:c r="D686" s="32" t="n">
        <x:v>1400</x:v>
      </x:c>
      <x:c r="E686" s="32" t="n">
        <x:v>1400</x:v>
      </x:c>
      <x:c r="F686" s="36" t="n">
        <x:v>46244</x:v>
      </x:c>
      <x:c r="G686" s="36" t="n">
        <x:v>46247</x:v>
      </x:c>
      <x:c r="H686" t="n">
        <x:v>3</x:v>
      </x:c>
      <x:c r="I686" t="str">
        <x:v>Pago em atraso</x:v>
      </x:c>
    </x:row>
    <x:row r="687">
      <x:c r="A687" t="str">
        <x:v>PAG-000686</x:v>
      </x:c>
      <x:c r="B687" t="str">
        <x:v>IMV-0069</x:v>
      </x:c>
      <x:c r="C687" s="38" t="n">
        <x:v>46204</x:v>
      </x:c>
      <x:c r="D687" s="32" t="n">
        <x:v>1400</x:v>
      </x:c>
      <x:c r="E687" s="32" t="n">
        <x:v>1400</x:v>
      </x:c>
      <x:c r="F687" s="36" t="n">
        <x:v>46213</x:v>
      </x:c>
      <x:c r="G687" s="36" t="n">
        <x:v>46213</x:v>
      </x:c>
      <x:c r="H687" t="n">
        <x:v>0</x:v>
      </x:c>
      <x:c r="I687" t="str">
        <x:v>Pago em dia</x:v>
      </x:c>
    </x:row>
    <x:row r="688">
      <x:c r="A688" t="str">
        <x:v>PAG-000687</x:v>
      </x:c>
      <x:c r="B688" t="str">
        <x:v>IMV-0069</x:v>
      </x:c>
      <x:c r="C688" s="38" t="n">
        <x:v>46174</x:v>
      </x:c>
      <x:c r="D688" s="32" t="n">
        <x:v>1400</x:v>
      </x:c>
      <x:c r="E688" s="32" t="n">
        <x:v>1400</x:v>
      </x:c>
      <x:c r="F688" s="36" t="n">
        <x:v>46183</x:v>
      </x:c>
      <x:c r="G688" s="36" t="n">
        <x:v>46183</x:v>
      </x:c>
      <x:c r="H688" t="n">
        <x:v>0</x:v>
      </x:c>
      <x:c r="I688" t="str">
        <x:v>Pago em dia</x:v>
      </x:c>
    </x:row>
    <x:row r="689">
      <x:c r="A689" t="str">
        <x:v>PAG-000688</x:v>
      </x:c>
      <x:c r="B689" t="str">
        <x:v>IMV-0069</x:v>
      </x:c>
      <x:c r="C689" s="38" t="n">
        <x:v>46143</x:v>
      </x:c>
      <x:c r="D689" s="32" t="n">
        <x:v>1400</x:v>
      </x:c>
      <x:c r="E689" s="32" t="n">
        <x:v>1400</x:v>
      </x:c>
      <x:c r="F689" s="36" t="n">
        <x:v>46152</x:v>
      </x:c>
      <x:c r="G689" s="36" t="n">
        <x:v>46154</x:v>
      </x:c>
      <x:c r="H689" t="n">
        <x:v>2</x:v>
      </x:c>
      <x:c r="I689" t="str">
        <x:v>Pago em atraso</x:v>
      </x:c>
    </x:row>
    <x:row r="690">
      <x:c r="A690" t="str">
        <x:v>PAG-000689</x:v>
      </x:c>
      <x:c r="B690" t="str">
        <x:v>IMV-0069</x:v>
      </x:c>
      <x:c r="C690" s="38" t="n">
        <x:v>46113</x:v>
      </x:c>
      <x:c r="D690" s="32" t="n">
        <x:v>1400</x:v>
      </x:c>
      <x:c r="E690" s="32" t="n">
        <x:v>1400</x:v>
      </x:c>
      <x:c r="F690" s="36" t="n">
        <x:v>46122</x:v>
      </x:c>
      <x:c r="G690" s="36" t="n">
        <x:v>46122</x:v>
      </x:c>
      <x:c r="H690" t="n">
        <x:v>0</x:v>
      </x:c>
      <x:c r="I690" t="str">
        <x:v>Pago em dia</x:v>
      </x:c>
    </x:row>
    <x:row r="691">
      <x:c r="A691" t="str">
        <x:v>PAG-000690</x:v>
      </x:c>
      <x:c r="B691" t="str">
        <x:v>IMV-0069</x:v>
      </x:c>
      <x:c r="C691" s="38" t="n">
        <x:v>46082</x:v>
      </x:c>
      <x:c r="D691" s="32" t="n">
        <x:v>1400</x:v>
      </x:c>
      <x:c r="E691" s="32" t="n">
        <x:v>1400</x:v>
      </x:c>
      <x:c r="F691" s="36" t="n">
        <x:v>46091</x:v>
      </x:c>
      <x:c r="G691" s="36" t="n">
        <x:v>46092</x:v>
      </x:c>
      <x:c r="H691" t="n">
        <x:v>1</x:v>
      </x:c>
      <x:c r="I691" t="str">
        <x:v>Pago em atraso</x:v>
      </x:c>
    </x:row>
    <x:row r="692">
      <x:c r="A692" t="str">
        <x:v>PAG-000691</x:v>
      </x:c>
      <x:c r="B692" t="str">
        <x:v>IMV-0069</x:v>
      </x:c>
      <x:c r="C692" s="38" t="n">
        <x:v>46054</x:v>
      </x:c>
      <x:c r="D692" s="32" t="n">
        <x:v>1400</x:v>
      </x:c>
      <x:c r="E692" s="32" t="n">
        <x:v>1400</x:v>
      </x:c>
      <x:c r="F692" s="36" t="n">
        <x:v>46063</x:v>
      </x:c>
      <x:c r="G692" s="36" t="n">
        <x:v>46063</x:v>
      </x:c>
      <x:c r="H692" t="n">
        <x:v>0</x:v>
      </x:c>
      <x:c r="I692" t="str">
        <x:v>Pago em dia</x:v>
      </x:c>
    </x:row>
    <x:row r="693">
      <x:c r="A693" t="str">
        <x:v>PAG-000692</x:v>
      </x:c>
      <x:c r="B693" t="str">
        <x:v>IMV-0069</x:v>
      </x:c>
      <x:c r="C693" s="38" t="n">
        <x:v>46023</x:v>
      </x:c>
      <x:c r="D693" s="32" t="n">
        <x:v>1400</x:v>
      </x:c>
      <x:c r="E693" s="32" t="n">
        <x:v>1400</x:v>
      </x:c>
      <x:c r="F693" s="36" t="n">
        <x:v>46032</x:v>
      </x:c>
      <x:c r="G693" s="36" t="n">
        <x:v>46033</x:v>
      </x:c>
      <x:c r="H693" t="n">
        <x:v>1</x:v>
      </x:c>
      <x:c r="I693" t="str">
        <x:v>Pago em atraso</x:v>
      </x:c>
    </x:row>
    <x:row r="694">
      <x:c r="A694" t="str">
        <x:v>PAG-000693</x:v>
      </x:c>
      <x:c r="B694" t="str">
        <x:v>IMV-0069</x:v>
      </x:c>
      <x:c r="C694" s="38" t="n">
        <x:v>45992</x:v>
      </x:c>
      <x:c r="D694" s="32" t="n">
        <x:v>1400</x:v>
      </x:c>
      <x:c r="E694" s="32" t="n">
        <x:v>1400</x:v>
      </x:c>
      <x:c r="F694" s="36" t="n">
        <x:v>46001</x:v>
      </x:c>
      <x:c r="G694" s="36" t="n">
        <x:v>46002</x:v>
      </x:c>
      <x:c r="H694" t="n">
        <x:v>1</x:v>
      </x:c>
      <x:c r="I694" t="str">
        <x:v>Pago em atraso</x:v>
      </x:c>
    </x:row>
    <x:row r="695">
      <x:c r="A695" t="str">
        <x:v>PAG-000694</x:v>
      </x:c>
      <x:c r="B695" t="str">
        <x:v>IMV-0069</x:v>
      </x:c>
      <x:c r="C695" s="38" t="n">
        <x:v>45962</x:v>
      </x:c>
      <x:c r="D695" s="32" t="n">
        <x:v>1400</x:v>
      </x:c>
      <x:c r="E695" s="32" t="n">
        <x:v>1400</x:v>
      </x:c>
      <x:c r="F695" s="36" t="n">
        <x:v>45971</x:v>
      </x:c>
      <x:c r="G695" s="36" t="n">
        <x:v>45971</x:v>
      </x:c>
      <x:c r="H695" t="n">
        <x:v>0</x:v>
      </x:c>
      <x:c r="I695" t="str">
        <x:v>Pago em dia</x:v>
      </x:c>
    </x:row>
    <x:row r="696">
      <x:c r="A696" t="str">
        <x:v>PAG-000695</x:v>
      </x:c>
      <x:c r="B696" t="str">
        <x:v>IMV-0069</x:v>
      </x:c>
      <x:c r="C696" s="38" t="n">
        <x:v>45931</x:v>
      </x:c>
      <x:c r="D696" s="32" t="n">
        <x:v>1400</x:v>
      </x:c>
      <x:c r="E696" s="32" t="n">
        <x:v>1400</x:v>
      </x:c>
      <x:c r="F696" s="36" t="n">
        <x:v>45940</x:v>
      </x:c>
      <x:c r="G696" s="36" t="n">
        <x:v>45940</x:v>
      </x:c>
      <x:c r="H696" t="n">
        <x:v>0</x:v>
      </x:c>
      <x:c r="I696" t="str">
        <x:v>Pago em dia</x:v>
      </x:c>
    </x:row>
    <x:row r="697">
      <x:c r="A697" t="str">
        <x:v>PAG-000696</x:v>
      </x:c>
      <x:c r="B697" t="str">
        <x:v>IMV-0069</x:v>
      </x:c>
      <x:c r="C697" s="38" t="n">
        <x:v>45901</x:v>
      </x:c>
      <x:c r="D697" s="32" t="n">
        <x:v>1400</x:v>
      </x:c>
      <x:c r="E697" s="32" t="n">
        <x:v>1400</x:v>
      </x:c>
      <x:c r="F697" s="36" t="n">
        <x:v>45910</x:v>
      </x:c>
      <x:c r="G697" s="36" t="n">
        <x:v>45910</x:v>
      </x:c>
      <x:c r="H697" t="n">
        <x:v>0</x:v>
      </x:c>
      <x:c r="I697" t="str">
        <x:v>Pago em dia</x:v>
      </x:c>
    </x:row>
    <x:row r="698">
      <x:c r="A698" t="str">
        <x:v>PAG-000697</x:v>
      </x:c>
      <x:c r="B698" t="str">
        <x:v>IMV-0070</x:v>
      </x:c>
      <x:c r="C698" s="38" t="n">
        <x:v>46235</x:v>
      </x:c>
      <x:c r="D698" s="32" t="n">
        <x:v>5150</x:v>
      </x:c>
      <x:c r="E698" s="32" t="n">
        <x:v>5150</x:v>
      </x:c>
      <x:c r="F698" s="36" t="n">
        <x:v>46244</x:v>
      </x:c>
      <x:c r="G698" s="36" t="n">
        <x:v>46244</x:v>
      </x:c>
      <x:c r="H698" t="n">
        <x:v>0</x:v>
      </x:c>
      <x:c r="I698" t="str">
        <x:v>Pago em dia</x:v>
      </x:c>
    </x:row>
    <x:row r="699">
      <x:c r="A699" t="str">
        <x:v>PAG-000698</x:v>
      </x:c>
      <x:c r="B699" t="str">
        <x:v>IMV-0070</x:v>
      </x:c>
      <x:c r="C699" s="38" t="n">
        <x:v>46204</x:v>
      </x:c>
      <x:c r="D699" s="32" t="n">
        <x:v>5150</x:v>
      </x:c>
      <x:c r="E699" s="32" t="n">
        <x:v>5150</x:v>
      </x:c>
      <x:c r="F699" s="36" t="n">
        <x:v>46213</x:v>
      </x:c>
      <x:c r="G699" s="36" t="n">
        <x:v>46216</x:v>
      </x:c>
      <x:c r="H699" t="n">
        <x:v>3</x:v>
      </x:c>
      <x:c r="I699" t="str">
        <x:v>Pago em atraso</x:v>
      </x:c>
    </x:row>
    <x:row r="700">
      <x:c r="A700" t="str">
        <x:v>PAG-000699</x:v>
      </x:c>
      <x:c r="B700" t="str">
        <x:v>IMV-0070</x:v>
      </x:c>
      <x:c r="C700" s="38" t="n">
        <x:v>46174</x:v>
      </x:c>
      <x:c r="D700" s="32" t="n">
        <x:v>5150</x:v>
      </x:c>
      <x:c r="E700" s="32" t="n">
        <x:v>5150</x:v>
      </x:c>
      <x:c r="F700" s="36" t="n">
        <x:v>46183</x:v>
      </x:c>
      <x:c r="G700" s="36" t="n">
        <x:v>46183</x:v>
      </x:c>
      <x:c r="H700" t="n">
        <x:v>0</x:v>
      </x:c>
      <x:c r="I700" t="str">
        <x:v>Pago em dia</x:v>
      </x:c>
    </x:row>
    <x:row r="701">
      <x:c r="A701" t="str">
        <x:v>PAG-000700</x:v>
      </x:c>
      <x:c r="B701" t="str">
        <x:v>IMV-0070</x:v>
      </x:c>
      <x:c r="C701" s="38" t="n">
        <x:v>46143</x:v>
      </x:c>
      <x:c r="D701" s="32" t="n">
        <x:v>5150</x:v>
      </x:c>
      <x:c r="E701" s="32" t="n">
        <x:v>5150</x:v>
      </x:c>
      <x:c r="F701" s="36" t="n">
        <x:v>46152</x:v>
      </x:c>
      <x:c r="G701" s="36" t="n">
        <x:v>46155</x:v>
      </x:c>
      <x:c r="H701" t="n">
        <x:v>3</x:v>
      </x:c>
      <x:c r="I701" t="str">
        <x:v>Pago em atraso</x:v>
      </x:c>
    </x:row>
    <x:row r="702">
      <x:c r="A702" t="str">
        <x:v>PAG-000701</x:v>
      </x:c>
      <x:c r="B702" t="str">
        <x:v>IMV-0070</x:v>
      </x:c>
      <x:c r="C702" s="38" t="n">
        <x:v>46113</x:v>
      </x:c>
      <x:c r="D702" s="32" t="n">
        <x:v>5150</x:v>
      </x:c>
      <x:c r="E702" s="32" t="n">
        <x:v>5150</x:v>
      </x:c>
      <x:c r="F702" s="36" t="n">
        <x:v>46122</x:v>
      </x:c>
      <x:c r="G702" s="36" t="n">
        <x:v>46124</x:v>
      </x:c>
      <x:c r="H702" t="n">
        <x:v>2</x:v>
      </x:c>
      <x:c r="I702" t="str">
        <x:v>Pago em atraso</x:v>
      </x:c>
    </x:row>
    <x:row r="703">
      <x:c r="A703" t="str">
        <x:v>PAG-000702</x:v>
      </x:c>
      <x:c r="B703" t="str">
        <x:v>IMV-0070</x:v>
      </x:c>
      <x:c r="C703" s="38" t="n">
        <x:v>46082</x:v>
      </x:c>
      <x:c r="D703" s="32" t="n">
        <x:v>5150</x:v>
      </x:c>
      <x:c r="E703" s="32" t="n">
        <x:v>5150</x:v>
      </x:c>
      <x:c r="F703" s="36" t="n">
        <x:v>46091</x:v>
      </x:c>
      <x:c r="G703" s="36" t="n">
        <x:v>46092</x:v>
      </x:c>
      <x:c r="H703" t="n">
        <x:v>1</x:v>
      </x:c>
      <x:c r="I703" t="str">
        <x:v>Pago em atraso</x:v>
      </x:c>
    </x:row>
    <x:row r="704">
      <x:c r="A704" t="str">
        <x:v>PAG-000703</x:v>
      </x:c>
      <x:c r="B704" t="str">
        <x:v>IMV-0070</x:v>
      </x:c>
      <x:c r="C704" s="38" t="n">
        <x:v>46054</x:v>
      </x:c>
      <x:c r="D704" s="32" t="n">
        <x:v>5150</x:v>
      </x:c>
      <x:c r="E704" s="32" t="n">
        <x:v>5150</x:v>
      </x:c>
      <x:c r="F704" s="36" t="n">
        <x:v>46063</x:v>
      </x:c>
      <x:c r="G704" s="36" t="n">
        <x:v>46063</x:v>
      </x:c>
      <x:c r="H704" t="n">
        <x:v>0</x:v>
      </x:c>
      <x:c r="I704" t="str">
        <x:v>Pago em dia</x:v>
      </x:c>
    </x:row>
    <x:row r="705">
      <x:c r="A705" t="str">
        <x:v>PAG-000704</x:v>
      </x:c>
      <x:c r="B705" t="str">
        <x:v>IMV-0070</x:v>
      </x:c>
      <x:c r="C705" s="38" t="n">
        <x:v>46023</x:v>
      </x:c>
      <x:c r="D705" s="32" t="n">
        <x:v>5150</x:v>
      </x:c>
      <x:c r="E705" s="32" t="n">
        <x:v>5150</x:v>
      </x:c>
      <x:c r="F705" s="36" t="n">
        <x:v>46032</x:v>
      </x:c>
      <x:c r="G705" s="36" t="n">
        <x:v>46035</x:v>
      </x:c>
      <x:c r="H705" t="n">
        <x:v>3</x:v>
      </x:c>
      <x:c r="I705" t="str">
        <x:v>Pago em atraso</x:v>
      </x:c>
    </x:row>
    <x:row r="706">
      <x:c r="A706" t="str">
        <x:v>PAG-000705</x:v>
      </x:c>
      <x:c r="B706" t="str">
        <x:v>IMV-0070</x:v>
      </x:c>
      <x:c r="C706" s="38" t="n">
        <x:v>45992</x:v>
      </x:c>
      <x:c r="D706" s="32" t="n">
        <x:v>5150</x:v>
      </x:c>
      <x:c r="E706" s="32" t="n">
        <x:v>5150</x:v>
      </x:c>
      <x:c r="F706" s="36" t="n">
        <x:v>46001</x:v>
      </x:c>
      <x:c r="G706" s="36" t="n">
        <x:v>46001</x:v>
      </x:c>
      <x:c r="H706" t="n">
        <x:v>0</x:v>
      </x:c>
      <x:c r="I706" t="str">
        <x:v>Pago em dia</x:v>
      </x:c>
    </x:row>
    <x:row r="707">
      <x:c r="A707" t="str">
        <x:v>PAG-000706</x:v>
      </x:c>
      <x:c r="B707" t="str">
        <x:v>IMV-0070</x:v>
      </x:c>
      <x:c r="C707" s="38" t="n">
        <x:v>45962</x:v>
      </x:c>
      <x:c r="D707" s="32" t="n">
        <x:v>5150</x:v>
      </x:c>
      <x:c r="E707" s="32" t="n">
        <x:v>5150</x:v>
      </x:c>
      <x:c r="F707" s="36" t="n">
        <x:v>45971</x:v>
      </x:c>
      <x:c r="G707" s="36" t="n">
        <x:v>45971</x:v>
      </x:c>
      <x:c r="H707" t="n">
        <x:v>0</x:v>
      </x:c>
      <x:c r="I707" t="str">
        <x:v>Pago em dia</x:v>
      </x:c>
    </x:row>
    <x:row r="708">
      <x:c r="A708" t="str">
        <x:v>PAG-000707</x:v>
      </x:c>
      <x:c r="B708" t="str">
        <x:v>IMV-0070</x:v>
      </x:c>
      <x:c r="C708" s="38" t="n">
        <x:v>45931</x:v>
      </x:c>
      <x:c r="D708" s="32" t="n">
        <x:v>5150</x:v>
      </x:c>
      <x:c r="E708" s="32" t="n">
        <x:v>5150</x:v>
      </x:c>
      <x:c r="F708" s="36" t="n">
        <x:v>45940</x:v>
      </x:c>
      <x:c r="G708" s="36" t="n">
        <x:v>45940</x:v>
      </x:c>
      <x:c r="H708" t="n">
        <x:v>0</x:v>
      </x:c>
      <x:c r="I708" t="str">
        <x:v>Pago em dia</x:v>
      </x:c>
    </x:row>
    <x:row r="709">
      <x:c r="A709" t="str">
        <x:v>PAG-000708</x:v>
      </x:c>
      <x:c r="B709" t="str">
        <x:v>IMV-0070</x:v>
      </x:c>
      <x:c r="C709" s="38" t="n">
        <x:v>45901</x:v>
      </x:c>
      <x:c r="D709" s="32" t="n">
        <x:v>5150</x:v>
      </x:c>
      <x:c r="E709" s="32" t="n">
        <x:v>5150</x:v>
      </x:c>
      <x:c r="F709" s="36" t="n">
        <x:v>45910</x:v>
      </x:c>
      <x:c r="G709" s="36" t="n">
        <x:v>45911</x:v>
      </x:c>
      <x:c r="H709" t="n">
        <x:v>1</x:v>
      </x:c>
      <x:c r="I709" t="str">
        <x:v>Pago em atraso</x:v>
      </x:c>
    </x:row>
    <x:row r="710">
      <x:c r="A710" t="str">
        <x:v>PAG-000709</x:v>
      </x:c>
      <x:c r="B710" t="str">
        <x:v>IMV-0072</x:v>
      </x:c>
      <x:c r="C710" s="38" t="n">
        <x:v>46235</x:v>
      </x:c>
      <x:c r="D710" s="32" t="n">
        <x:v>3000</x:v>
      </x:c>
      <x:c r="E710" s="32" t="n">
        <x:v>3000</x:v>
      </x:c>
      <x:c r="F710" s="36" t="n">
        <x:v>46244</x:v>
      </x:c>
      <x:c r="G710" s="36" t="n">
        <x:v>46256</x:v>
      </x:c>
      <x:c r="H710" t="n">
        <x:v>12</x:v>
      </x:c>
      <x:c r="I710" t="str">
        <x:v>Pago em atraso</x:v>
      </x:c>
    </x:row>
    <x:row r="711">
      <x:c r="A711" t="str">
        <x:v>PAG-000710</x:v>
      </x:c>
      <x:c r="B711" t="str">
        <x:v>IMV-0072</x:v>
      </x:c>
      <x:c r="C711" s="38" t="n">
        <x:v>46204</x:v>
      </x:c>
      <x:c r="D711" s="32" t="n">
        <x:v>3000</x:v>
      </x:c>
      <x:c r="E711" s="32" t="n">
        <x:v>3000</x:v>
      </x:c>
      <x:c r="F711" s="36" t="n">
        <x:v>46213</x:v>
      </x:c>
      <x:c r="G711" s="36" t="n">
        <x:v>46220</x:v>
      </x:c>
      <x:c r="H711" t="n">
        <x:v>7</x:v>
      </x:c>
      <x:c r="I711" t="str">
        <x:v>Pago em atraso</x:v>
      </x:c>
    </x:row>
    <x:row r="712">
      <x:c r="A712" t="str">
        <x:v>PAG-000711</x:v>
      </x:c>
      <x:c r="B712" t="str">
        <x:v>IMV-0072</x:v>
      </x:c>
      <x:c r="C712" s="38" t="n">
        <x:v>46174</x:v>
      </x:c>
      <x:c r="D712" s="32" t="n">
        <x:v>3000</x:v>
      </x:c>
      <x:c r="E712" s="32" t="n">
        <x:v>3000</x:v>
      </x:c>
      <x:c r="F712" s="36" t="n">
        <x:v>46183</x:v>
      </x:c>
      <x:c r="G712" s="36" t="n">
        <x:v>46195</x:v>
      </x:c>
      <x:c r="H712" t="n">
        <x:v>12</x:v>
      </x:c>
      <x:c r="I712" t="str">
        <x:v>Pago em atraso</x:v>
      </x:c>
    </x:row>
    <x:row r="713">
      <x:c r="A713" t="str">
        <x:v>PAG-000712</x:v>
      </x:c>
      <x:c r="B713" t="str">
        <x:v>IMV-0072</x:v>
      </x:c>
      <x:c r="C713" s="38" t="n">
        <x:v>46143</x:v>
      </x:c>
      <x:c r="D713" s="32" t="n">
        <x:v>3000</x:v>
      </x:c>
      <x:c r="E713" s="32" t="n">
        <x:v>3000</x:v>
      </x:c>
      <x:c r="F713" s="36" t="n">
        <x:v>46152</x:v>
      </x:c>
      <x:c r="G713" s="36" t="n">
        <x:v>46152</x:v>
      </x:c>
      <x:c r="H713" t="n">
        <x:v>0</x:v>
      </x:c>
      <x:c r="I713" t="str">
        <x:v>Pago em dia</x:v>
      </x:c>
    </x:row>
    <x:row r="714">
      <x:c r="A714" t="str">
        <x:v>PAG-000713</x:v>
      </x:c>
      <x:c r="B714" t="str">
        <x:v>IMV-0072</x:v>
      </x:c>
      <x:c r="C714" s="38" t="n">
        <x:v>46113</x:v>
      </x:c>
      <x:c r="D714" s="32" t="n">
        <x:v>3000</x:v>
      </x:c>
      <x:c r="E714" s="32" t="n">
        <x:v>3000</x:v>
      </x:c>
      <x:c r="F714" s="36" t="n">
        <x:v>46122</x:v>
      </x:c>
      <x:c r="G714" s="36" t="n">
        <x:v>46122</x:v>
      </x:c>
      <x:c r="H714" t="n">
        <x:v>0</x:v>
      </x:c>
      <x:c r="I714" t="str">
        <x:v>Pago em dia</x:v>
      </x:c>
    </x:row>
    <x:row r="715">
      <x:c r="A715" t="str">
        <x:v>PAG-000714</x:v>
      </x:c>
      <x:c r="B715" t="str">
        <x:v>IMV-0072</x:v>
      </x:c>
      <x:c r="C715" s="38" t="n">
        <x:v>46082</x:v>
      </x:c>
      <x:c r="D715" s="32" t="n">
        <x:v>3000</x:v>
      </x:c>
      <x:c r="E715" s="32" t="n">
        <x:v>3000</x:v>
      </x:c>
      <x:c r="F715" s="36" t="n">
        <x:v>46091</x:v>
      </x:c>
      <x:c r="G715" s="36" t="n">
        <x:v>46098</x:v>
      </x:c>
      <x:c r="H715" t="n">
        <x:v>7</x:v>
      </x:c>
      <x:c r="I715" t="str">
        <x:v>Pago em atraso</x:v>
      </x:c>
    </x:row>
    <x:row r="716">
      <x:c r="A716" t="str">
        <x:v>PAG-000715</x:v>
      </x:c>
      <x:c r="B716" t="str">
        <x:v>IMV-0072</x:v>
      </x:c>
      <x:c r="C716" s="38" t="n">
        <x:v>46054</x:v>
      </x:c>
      <x:c r="D716" s="32" t="n">
        <x:v>3000</x:v>
      </x:c>
      <x:c r="E716" s="32" t="n">
        <x:v>3000</x:v>
      </x:c>
      <x:c r="F716" s="36" t="n">
        <x:v>46063</x:v>
      </x:c>
      <x:c r="G716" s="36" t="n">
        <x:v>46066</x:v>
      </x:c>
      <x:c r="H716" t="n">
        <x:v>3</x:v>
      </x:c>
      <x:c r="I716" t="str">
        <x:v>Pago em atraso</x:v>
      </x:c>
    </x:row>
    <x:row r="717">
      <x:c r="A717" t="str">
        <x:v>PAG-000716</x:v>
      </x:c>
      <x:c r="B717" t="str">
        <x:v>IMV-0072</x:v>
      </x:c>
      <x:c r="C717" s="38" t="n">
        <x:v>46023</x:v>
      </x:c>
      <x:c r="D717" s="32" t="n">
        <x:v>3000</x:v>
      </x:c>
      <x:c r="E717" s="32" t="n">
        <x:v>3000</x:v>
      </x:c>
      <x:c r="F717" s="36" t="n">
        <x:v>46032</x:v>
      </x:c>
      <x:c r="G717" s="36" t="n">
        <x:v>46039</x:v>
      </x:c>
      <x:c r="H717" t="n">
        <x:v>7</x:v>
      </x:c>
      <x:c r="I717" t="str">
        <x:v>Pago em atraso</x:v>
      </x:c>
    </x:row>
    <x:row r="718">
      <x:c r="A718" t="str">
        <x:v>PAG-000717</x:v>
      </x:c>
      <x:c r="B718" t="str">
        <x:v>IMV-0072</x:v>
      </x:c>
      <x:c r="C718" s="38" t="n">
        <x:v>45992</x:v>
      </x:c>
      <x:c r="D718" s="32" t="n">
        <x:v>3000</x:v>
      </x:c>
      <x:c r="E718" s="32" t="n">
        <x:v>3000</x:v>
      </x:c>
      <x:c r="F718" s="36" t="n">
        <x:v>46001</x:v>
      </x:c>
      <x:c r="G718" s="36" t="n">
        <x:v>46001</x:v>
      </x:c>
      <x:c r="H718" t="n">
        <x:v>0</x:v>
      </x:c>
      <x:c r="I718" t="str">
        <x:v>Pago em dia</x:v>
      </x:c>
    </x:row>
    <x:row r="719">
      <x:c r="A719" t="str">
        <x:v>PAG-000718</x:v>
      </x:c>
      <x:c r="B719" t="str">
        <x:v>IMV-0072</x:v>
      </x:c>
      <x:c r="C719" s="38" t="n">
        <x:v>45962</x:v>
      </x:c>
      <x:c r="D719" s="32" t="n">
        <x:v>3000</x:v>
      </x:c>
      <x:c r="E719" s="32" t="n">
        <x:v>3000</x:v>
      </x:c>
      <x:c r="F719" s="36" t="n">
        <x:v>45971</x:v>
      </x:c>
      <x:c r="G719" s="36" t="n">
        <x:v>45974</x:v>
      </x:c>
      <x:c r="H719" t="n">
        <x:v>3</x:v>
      </x:c>
      <x:c r="I719" t="str">
        <x:v>Pago em atraso</x:v>
      </x:c>
    </x:row>
    <x:row r="720">
      <x:c r="A720" t="str">
        <x:v>PAG-000719</x:v>
      </x:c>
      <x:c r="B720" t="str">
        <x:v>IMV-0072</x:v>
      </x:c>
      <x:c r="C720" s="38" t="n">
        <x:v>45931</x:v>
      </x:c>
      <x:c r="D720" s="32" t="n">
        <x:v>3000</x:v>
      </x:c>
      <x:c r="E720" s="32" t="n">
        <x:v>3000</x:v>
      </x:c>
      <x:c r="F720" s="36" t="n">
        <x:v>45940</x:v>
      </x:c>
      <x:c r="G720" s="36" t="n">
        <x:v>45947</x:v>
      </x:c>
      <x:c r="H720" t="n">
        <x:v>7</x:v>
      </x:c>
      <x:c r="I720" t="str">
        <x:v>Pago em atraso</x:v>
      </x:c>
    </x:row>
    <x:row r="721">
      <x:c r="A721" t="str">
        <x:v>PAG-000720</x:v>
      </x:c>
      <x:c r="B721" t="str">
        <x:v>IMV-0072</x:v>
      </x:c>
      <x:c r="C721" s="38" t="n">
        <x:v>45901</x:v>
      </x:c>
      <x:c r="D721" s="32" t="n">
        <x:v>3000</x:v>
      </x:c>
      <x:c r="E721" s="32" t="n">
        <x:v>3000</x:v>
      </x:c>
      <x:c r="F721" s="36" t="n">
        <x:v>45910</x:v>
      </x:c>
      <x:c r="G721" s="36" t="n">
        <x:v>45913</x:v>
      </x:c>
      <x:c r="H721" t="n">
        <x:v>3</x:v>
      </x:c>
      <x:c r="I721" t="str">
        <x:v>Pago em atraso</x:v>
      </x:c>
    </x:row>
    <x:row r="722">
      <x:c r="A722" t="str">
        <x:v>PAG-000721</x:v>
      </x:c>
      <x:c r="B722" t="str">
        <x:v>IMV-0073</x:v>
      </x:c>
      <x:c r="C722" s="38" t="n">
        <x:v>46235</x:v>
      </x:c>
      <x:c r="D722" s="32" t="n">
        <x:v>2050</x:v>
      </x:c>
      <x:c r="E722" s="32" t="n">
        <x:v>0</x:v>
      </x:c>
      <x:c r="F722" s="36" t="n">
        <x:v>46244</x:v>
      </x:c>
      <x:c r="G722" s="36"/>
      <x:c r="H722" t="n">
        <x:v>-7</x:v>
      </x:c>
      <x:c r="I722" t="str">
        <x:v>Em aberto</x:v>
      </x:c>
    </x:row>
    <x:row r="723">
      <x:c r="A723" t="str">
        <x:v>PAG-000722</x:v>
      </x:c>
      <x:c r="B723" t="str">
        <x:v>IMV-0073</x:v>
      </x:c>
      <x:c r="C723" s="38" t="n">
        <x:v>46204</x:v>
      </x:c>
      <x:c r="D723" s="32" t="n">
        <x:v>2050</x:v>
      </x:c>
      <x:c r="E723" s="32" t="n">
        <x:v>2050</x:v>
      </x:c>
      <x:c r="F723" s="36" t="n">
        <x:v>46213</x:v>
      </x:c>
      <x:c r="G723" s="36" t="n">
        <x:v>46225</x:v>
      </x:c>
      <x:c r="H723" t="n">
        <x:v>12</x:v>
      </x:c>
      <x:c r="I723" t="str">
        <x:v>Pago em atraso</x:v>
      </x:c>
    </x:row>
    <x:row r="724">
      <x:c r="A724" t="str">
        <x:v>PAG-000723</x:v>
      </x:c>
      <x:c r="B724" t="str">
        <x:v>IMV-0073</x:v>
      </x:c>
      <x:c r="C724" s="38" t="n">
        <x:v>46174</x:v>
      </x:c>
      <x:c r="D724" s="32" t="n">
        <x:v>2050</x:v>
      </x:c>
      <x:c r="E724" s="32" t="n">
        <x:v>0</x:v>
      </x:c>
      <x:c r="F724" s="36" t="n">
        <x:v>46183</x:v>
      </x:c>
      <x:c r="G724" s="36"/>
      <x:c r="H724" t="n">
        <x:v>54</x:v>
      </x:c>
      <x:c r="I724" t="str">
        <x:v>Em aberto</x:v>
      </x:c>
    </x:row>
    <x:row r="725">
      <x:c r="A725" t="str">
        <x:v>PAG-000724</x:v>
      </x:c>
      <x:c r="B725" t="str">
        <x:v>IMV-0073</x:v>
      </x:c>
      <x:c r="C725" s="38" t="n">
        <x:v>46143</x:v>
      </x:c>
      <x:c r="D725" s="32" t="n">
        <x:v>2050</x:v>
      </x:c>
      <x:c r="E725" s="32" t="n">
        <x:v>2050</x:v>
      </x:c>
      <x:c r="F725" s="36" t="n">
        <x:v>46152</x:v>
      </x:c>
      <x:c r="G725" s="36" t="n">
        <x:v>46159</x:v>
      </x:c>
      <x:c r="H725" t="n">
        <x:v>7</x:v>
      </x:c>
      <x:c r="I725" t="str">
        <x:v>Pago em atraso</x:v>
      </x:c>
    </x:row>
    <x:row r="726">
      <x:c r="A726" t="str">
        <x:v>PAG-000725</x:v>
      </x:c>
      <x:c r="B726" t="str">
        <x:v>IMV-0073</x:v>
      </x:c>
      <x:c r="C726" s="38" t="n">
        <x:v>46113</x:v>
      </x:c>
      <x:c r="D726" s="32" t="n">
        <x:v>2050</x:v>
      </x:c>
      <x:c r="E726" s="32" t="n">
        <x:v>2050</x:v>
      </x:c>
      <x:c r="F726" s="36" t="n">
        <x:v>46122</x:v>
      </x:c>
      <x:c r="G726" s="36" t="n">
        <x:v>46142</x:v>
      </x:c>
      <x:c r="H726" t="n">
        <x:v>20</x:v>
      </x:c>
      <x:c r="I726" t="str">
        <x:v>Pago em atraso</x:v>
      </x:c>
    </x:row>
    <x:row r="727">
      <x:c r="A727" t="str">
        <x:v>PAG-000726</x:v>
      </x:c>
      <x:c r="B727" t="str">
        <x:v>IMV-0073</x:v>
      </x:c>
      <x:c r="C727" s="38" t="n">
        <x:v>46082</x:v>
      </x:c>
      <x:c r="D727" s="32" t="n">
        <x:v>2050</x:v>
      </x:c>
      <x:c r="E727" s="32" t="n">
        <x:v>2050</x:v>
      </x:c>
      <x:c r="F727" s="36" t="n">
        <x:v>46091</x:v>
      </x:c>
      <x:c r="G727" s="36" t="n">
        <x:v>46126</x:v>
      </x:c>
      <x:c r="H727" t="n">
        <x:v>35</x:v>
      </x:c>
      <x:c r="I727" t="str">
        <x:v>Pago em atraso</x:v>
      </x:c>
    </x:row>
    <x:row r="728">
      <x:c r="A728" t="str">
        <x:v>PAG-000727</x:v>
      </x:c>
      <x:c r="B728" t="str">
        <x:v>IMV-0073</x:v>
      </x:c>
      <x:c r="C728" s="38" t="n">
        <x:v>46054</x:v>
      </x:c>
      <x:c r="D728" s="32" t="n">
        <x:v>2050</x:v>
      </x:c>
      <x:c r="E728" s="32" t="n">
        <x:v>2050</x:v>
      </x:c>
      <x:c r="F728" s="36" t="n">
        <x:v>46063</x:v>
      </x:c>
      <x:c r="G728" s="36" t="n">
        <x:v>46075</x:v>
      </x:c>
      <x:c r="H728" t="n">
        <x:v>12</x:v>
      </x:c>
      <x:c r="I728" t="str">
        <x:v>Pago em atraso</x:v>
      </x:c>
    </x:row>
    <x:row r="729">
      <x:c r="A729" t="str">
        <x:v>PAG-000728</x:v>
      </x:c>
      <x:c r="B729" t="str">
        <x:v>IMV-0073</x:v>
      </x:c>
      <x:c r="C729" s="38" t="n">
        <x:v>46023</x:v>
      </x:c>
      <x:c r="D729" s="32" t="n">
        <x:v>2050</x:v>
      </x:c>
      <x:c r="E729" s="32" t="n">
        <x:v>2050</x:v>
      </x:c>
      <x:c r="F729" s="36" t="n">
        <x:v>46032</x:v>
      </x:c>
      <x:c r="G729" s="36" t="n">
        <x:v>46052</x:v>
      </x:c>
      <x:c r="H729" t="n">
        <x:v>20</x:v>
      </x:c>
      <x:c r="I729" t="str">
        <x:v>Pago em atraso</x:v>
      </x:c>
    </x:row>
    <x:row r="730">
      <x:c r="A730" t="str">
        <x:v>PAG-000729</x:v>
      </x:c>
      <x:c r="B730" t="str">
        <x:v>IMV-0073</x:v>
      </x:c>
      <x:c r="C730" s="38" t="n">
        <x:v>45992</x:v>
      </x:c>
      <x:c r="D730" s="32" t="n">
        <x:v>2050</x:v>
      </x:c>
      <x:c r="E730" s="32" t="n">
        <x:v>2050</x:v>
      </x:c>
      <x:c r="F730" s="36" t="n">
        <x:v>46001</x:v>
      </x:c>
      <x:c r="G730" s="36" t="n">
        <x:v>46036</x:v>
      </x:c>
      <x:c r="H730" t="n">
        <x:v>35</x:v>
      </x:c>
      <x:c r="I730" t="str">
        <x:v>Pago em atraso</x:v>
      </x:c>
    </x:row>
    <x:row r="731">
      <x:c r="A731" t="str">
        <x:v>PAG-000730</x:v>
      </x:c>
      <x:c r="B731" t="str">
        <x:v>IMV-0073</x:v>
      </x:c>
      <x:c r="C731" s="38" t="n">
        <x:v>45962</x:v>
      </x:c>
      <x:c r="D731" s="32" t="n">
        <x:v>2050</x:v>
      </x:c>
      <x:c r="E731" s="32" t="n">
        <x:v>2050</x:v>
      </x:c>
      <x:c r="F731" s="36" t="n">
        <x:v>45971</x:v>
      </x:c>
      <x:c r="G731" s="36" t="n">
        <x:v>46031</x:v>
      </x:c>
      <x:c r="H731" t="n">
        <x:v>60</x:v>
      </x:c>
      <x:c r="I731" t="str">
        <x:v>Pago em atraso</x:v>
      </x:c>
    </x:row>
    <x:row r="732">
      <x:c r="A732" t="str">
        <x:v>PAG-000731</x:v>
      </x:c>
      <x:c r="B732" t="str">
        <x:v>IMV-0073</x:v>
      </x:c>
      <x:c r="C732" s="38" t="n">
        <x:v>45931</x:v>
      </x:c>
      <x:c r="D732" s="32" t="n">
        <x:v>2050</x:v>
      </x:c>
      <x:c r="E732" s="32" t="n">
        <x:v>2050</x:v>
      </x:c>
      <x:c r="F732" s="36" t="n">
        <x:v>45940</x:v>
      </x:c>
      <x:c r="G732" s="36" t="n">
        <x:v>46000</x:v>
      </x:c>
      <x:c r="H732" t="n">
        <x:v>60</x:v>
      </x:c>
      <x:c r="I732" t="str">
        <x:v>Pago em atraso</x:v>
      </x:c>
    </x:row>
    <x:row r="733">
      <x:c r="A733" t="str">
        <x:v>PAG-000732</x:v>
      </x:c>
      <x:c r="B733" t="str">
        <x:v>IMV-0073</x:v>
      </x:c>
      <x:c r="C733" s="38" t="n">
        <x:v>45901</x:v>
      </x:c>
      <x:c r="D733" s="32" t="n">
        <x:v>2050</x:v>
      </x:c>
      <x:c r="E733" s="32" t="n">
        <x:v>2050</x:v>
      </x:c>
      <x:c r="F733" s="36" t="n">
        <x:v>45910</x:v>
      </x:c>
      <x:c r="G733" s="36" t="n">
        <x:v>45945</x:v>
      </x:c>
      <x:c r="H733" t="n">
        <x:v>35</x:v>
      </x:c>
      <x:c r="I733" t="str">
        <x:v>Pago em atraso</x:v>
      </x:c>
    </x:row>
    <x:row r="734">
      <x:c r="A734" t="str">
        <x:v>PAG-000733</x:v>
      </x:c>
      <x:c r="B734" t="str">
        <x:v>IMV-0074</x:v>
      </x:c>
      <x:c r="C734" s="38" t="n">
        <x:v>46235</x:v>
      </x:c>
      <x:c r="D734" s="32" t="n">
        <x:v>5950</x:v>
      </x:c>
      <x:c r="E734" s="32" t="n">
        <x:v>5950</x:v>
      </x:c>
      <x:c r="F734" s="36" t="n">
        <x:v>46244</x:v>
      </x:c>
      <x:c r="G734" s="36" t="n">
        <x:v>46244</x:v>
      </x:c>
      <x:c r="H734" t="n">
        <x:v>0</x:v>
      </x:c>
      <x:c r="I734" t="str">
        <x:v>Pago em dia</x:v>
      </x:c>
    </x:row>
    <x:row r="735">
      <x:c r="A735" t="str">
        <x:v>PAG-000734</x:v>
      </x:c>
      <x:c r="B735" t="str">
        <x:v>IMV-0074</x:v>
      </x:c>
      <x:c r="C735" s="38" t="n">
        <x:v>46204</x:v>
      </x:c>
      <x:c r="D735" s="32" t="n">
        <x:v>5950</x:v>
      </x:c>
      <x:c r="E735" s="32" t="n">
        <x:v>5950</x:v>
      </x:c>
      <x:c r="F735" s="36" t="n">
        <x:v>46213</x:v>
      </x:c>
      <x:c r="G735" s="36" t="n">
        <x:v>46215</x:v>
      </x:c>
      <x:c r="H735" t="n">
        <x:v>2</x:v>
      </x:c>
      <x:c r="I735" t="str">
        <x:v>Pago em atraso</x:v>
      </x:c>
    </x:row>
    <x:row r="736">
      <x:c r="A736" t="str">
        <x:v>PAG-000735</x:v>
      </x:c>
      <x:c r="B736" t="str">
        <x:v>IMV-0074</x:v>
      </x:c>
      <x:c r="C736" s="38" t="n">
        <x:v>46174</x:v>
      </x:c>
      <x:c r="D736" s="32" t="n">
        <x:v>5950</x:v>
      </x:c>
      <x:c r="E736" s="32" t="n">
        <x:v>5950</x:v>
      </x:c>
      <x:c r="F736" s="36" t="n">
        <x:v>46183</x:v>
      </x:c>
      <x:c r="G736" s="36" t="n">
        <x:v>46183</x:v>
      </x:c>
      <x:c r="H736" t="n">
        <x:v>0</x:v>
      </x:c>
      <x:c r="I736" t="str">
        <x:v>Pago em dia</x:v>
      </x:c>
    </x:row>
    <x:row r="737">
      <x:c r="A737" t="str">
        <x:v>PAG-000736</x:v>
      </x:c>
      <x:c r="B737" t="str">
        <x:v>IMV-0074</x:v>
      </x:c>
      <x:c r="C737" s="38" t="n">
        <x:v>46143</x:v>
      </x:c>
      <x:c r="D737" s="32" t="n">
        <x:v>5950</x:v>
      </x:c>
      <x:c r="E737" s="32" t="n">
        <x:v>5950</x:v>
      </x:c>
      <x:c r="F737" s="36" t="n">
        <x:v>46152</x:v>
      </x:c>
      <x:c r="G737" s="36" t="n">
        <x:v>46157</x:v>
      </x:c>
      <x:c r="H737" t="n">
        <x:v>5</x:v>
      </x:c>
      <x:c r="I737" t="str">
        <x:v>Pago em atraso</x:v>
      </x:c>
    </x:row>
    <x:row r="738">
      <x:c r="A738" t="str">
        <x:v>PAG-000737</x:v>
      </x:c>
      <x:c r="B738" t="str">
        <x:v>IMV-0074</x:v>
      </x:c>
      <x:c r="C738" s="38" t="n">
        <x:v>46113</x:v>
      </x:c>
      <x:c r="D738" s="32" t="n">
        <x:v>5950</x:v>
      </x:c>
      <x:c r="E738" s="32" t="n">
        <x:v>5950</x:v>
      </x:c>
      <x:c r="F738" s="36" t="n">
        <x:v>46122</x:v>
      </x:c>
      <x:c r="G738" s="36" t="n">
        <x:v>46122</x:v>
      </x:c>
      <x:c r="H738" t="n">
        <x:v>0</x:v>
      </x:c>
      <x:c r="I738" t="str">
        <x:v>Pago em dia</x:v>
      </x:c>
    </x:row>
    <x:row r="739">
      <x:c r="A739" t="str">
        <x:v>PAG-000738</x:v>
      </x:c>
      <x:c r="B739" t="str">
        <x:v>IMV-0074</x:v>
      </x:c>
      <x:c r="C739" s="38" t="n">
        <x:v>46082</x:v>
      </x:c>
      <x:c r="D739" s="32" t="n">
        <x:v>5950</x:v>
      </x:c>
      <x:c r="E739" s="32" t="n">
        <x:v>5950</x:v>
      </x:c>
      <x:c r="F739" s="36" t="n">
        <x:v>46091</x:v>
      </x:c>
      <x:c r="G739" s="36" t="n">
        <x:v>46091</x:v>
      </x:c>
      <x:c r="H739" t="n">
        <x:v>0</x:v>
      </x:c>
      <x:c r="I739" t="str">
        <x:v>Pago em dia</x:v>
      </x:c>
    </x:row>
    <x:row r="740">
      <x:c r="A740" t="str">
        <x:v>PAG-000739</x:v>
      </x:c>
      <x:c r="B740" t="str">
        <x:v>IMV-0074</x:v>
      </x:c>
      <x:c r="C740" s="38" t="n">
        <x:v>46054</x:v>
      </x:c>
      <x:c r="D740" s="32" t="n">
        <x:v>5950</x:v>
      </x:c>
      <x:c r="E740" s="32" t="n">
        <x:v>5950</x:v>
      </x:c>
      <x:c r="F740" s="36" t="n">
        <x:v>46063</x:v>
      </x:c>
      <x:c r="G740" s="36" t="n">
        <x:v>46064</x:v>
      </x:c>
      <x:c r="H740" t="n">
        <x:v>1</x:v>
      </x:c>
      <x:c r="I740" t="str">
        <x:v>Pago em atraso</x:v>
      </x:c>
    </x:row>
    <x:row r="741">
      <x:c r="A741" t="str">
        <x:v>PAG-000740</x:v>
      </x:c>
      <x:c r="B741" t="str">
        <x:v>IMV-0074</x:v>
      </x:c>
      <x:c r="C741" s="38" t="n">
        <x:v>46023</x:v>
      </x:c>
      <x:c r="D741" s="32" t="n">
        <x:v>5950</x:v>
      </x:c>
      <x:c r="E741" s="32" t="n">
        <x:v>5950</x:v>
      </x:c>
      <x:c r="F741" s="36" t="n">
        <x:v>46032</x:v>
      </x:c>
      <x:c r="G741" s="36" t="n">
        <x:v>46035</x:v>
      </x:c>
      <x:c r="H741" t="n">
        <x:v>3</x:v>
      </x:c>
      <x:c r="I741" t="str">
        <x:v>Pago em atraso</x:v>
      </x:c>
    </x:row>
    <x:row r="742">
      <x:c r="A742" t="str">
        <x:v>PAG-000741</x:v>
      </x:c>
      <x:c r="B742" t="str">
        <x:v>IMV-0074</x:v>
      </x:c>
      <x:c r="C742" s="38" t="n">
        <x:v>45992</x:v>
      </x:c>
      <x:c r="D742" s="32" t="n">
        <x:v>5950</x:v>
      </x:c>
      <x:c r="E742" s="32" t="n">
        <x:v>5950</x:v>
      </x:c>
      <x:c r="F742" s="36" t="n">
        <x:v>46001</x:v>
      </x:c>
      <x:c r="G742" s="36" t="n">
        <x:v>46006</x:v>
      </x:c>
      <x:c r="H742" t="n">
        <x:v>5</x:v>
      </x:c>
      <x:c r="I742" t="str">
        <x:v>Pago em atraso</x:v>
      </x:c>
    </x:row>
    <x:row r="743">
      <x:c r="A743" t="str">
        <x:v>PAG-000742</x:v>
      </x:c>
      <x:c r="B743" t="str">
        <x:v>IMV-0074</x:v>
      </x:c>
      <x:c r="C743" s="38" t="n">
        <x:v>45962</x:v>
      </x:c>
      <x:c r="D743" s="32" t="n">
        <x:v>5950</x:v>
      </x:c>
      <x:c r="E743" s="32" t="n">
        <x:v>5950</x:v>
      </x:c>
      <x:c r="F743" s="36" t="n">
        <x:v>45971</x:v>
      </x:c>
      <x:c r="G743" s="36" t="n">
        <x:v>45971</x:v>
      </x:c>
      <x:c r="H743" t="n">
        <x:v>0</x:v>
      </x:c>
      <x:c r="I743" t="str">
        <x:v>Pago em dia</x:v>
      </x:c>
    </x:row>
    <x:row r="744">
      <x:c r="A744" t="str">
        <x:v>PAG-000743</x:v>
      </x:c>
      <x:c r="B744" t="str">
        <x:v>IMV-0074</x:v>
      </x:c>
      <x:c r="C744" s="38" t="n">
        <x:v>45931</x:v>
      </x:c>
      <x:c r="D744" s="32" t="n">
        <x:v>5950</x:v>
      </x:c>
      <x:c r="E744" s="32" t="n">
        <x:v>5950</x:v>
      </x:c>
      <x:c r="F744" s="36" t="n">
        <x:v>45940</x:v>
      </x:c>
      <x:c r="G744" s="36" t="n">
        <x:v>45940</x:v>
      </x:c>
      <x:c r="H744" t="n">
        <x:v>0</x:v>
      </x:c>
      <x:c r="I744" t="str">
        <x:v>Pago em dia</x:v>
      </x:c>
    </x:row>
    <x:row r="745">
      <x:c r="A745" t="str">
        <x:v>PAG-000744</x:v>
      </x:c>
      <x:c r="B745" t="str">
        <x:v>IMV-0074</x:v>
      </x:c>
      <x:c r="C745" s="38" t="n">
        <x:v>45901</x:v>
      </x:c>
      <x:c r="D745" s="32" t="n">
        <x:v>5950</x:v>
      </x:c>
      <x:c r="E745" s="32" t="n">
        <x:v>5950</x:v>
      </x:c>
      <x:c r="F745" s="36" t="n">
        <x:v>45910</x:v>
      </x:c>
      <x:c r="G745" s="36" t="n">
        <x:v>45915</x:v>
      </x:c>
      <x:c r="H745" t="n">
        <x:v>5</x:v>
      </x:c>
      <x:c r="I745" t="str">
        <x:v>Pago em atraso</x:v>
      </x:c>
    </x:row>
    <x:row r="746">
      <x:c r="A746" t="str">
        <x:v>PAG-000745</x:v>
      </x:c>
      <x:c r="B746" t="str">
        <x:v>IMV-0076</x:v>
      </x:c>
      <x:c r="C746" s="38" t="n">
        <x:v>46235</x:v>
      </x:c>
      <x:c r="D746" s="32" t="n">
        <x:v>6000</x:v>
      </x:c>
      <x:c r="E746" s="32" t="n">
        <x:v>6000</x:v>
      </x:c>
      <x:c r="F746" s="36" t="n">
        <x:v>46244</x:v>
      </x:c>
      <x:c r="G746" s="36" t="n">
        <x:v>46244</x:v>
      </x:c>
      <x:c r="H746" t="n">
        <x:v>0</x:v>
      </x:c>
      <x:c r="I746" t="str">
        <x:v>Pago em dia</x:v>
      </x:c>
    </x:row>
    <x:row r="747">
      <x:c r="A747" t="str">
        <x:v>PAG-000746</x:v>
      </x:c>
      <x:c r="B747" t="str">
        <x:v>IMV-0076</x:v>
      </x:c>
      <x:c r="C747" s="38" t="n">
        <x:v>46204</x:v>
      </x:c>
      <x:c r="D747" s="32" t="n">
        <x:v>6000</x:v>
      </x:c>
      <x:c r="E747" s="32" t="n">
        <x:v>6000</x:v>
      </x:c>
      <x:c r="F747" s="36" t="n">
        <x:v>46213</x:v>
      </x:c>
      <x:c r="G747" s="36" t="n">
        <x:v>46215</x:v>
      </x:c>
      <x:c r="H747" t="n">
        <x:v>2</x:v>
      </x:c>
      <x:c r="I747" t="str">
        <x:v>Pago em atraso</x:v>
      </x:c>
    </x:row>
    <x:row r="748">
      <x:c r="A748" t="str">
        <x:v>PAG-000747</x:v>
      </x:c>
      <x:c r="B748" t="str">
        <x:v>IMV-0076</x:v>
      </x:c>
      <x:c r="C748" s="38" t="n">
        <x:v>46174</x:v>
      </x:c>
      <x:c r="D748" s="32" t="n">
        <x:v>6000</x:v>
      </x:c>
      <x:c r="E748" s="32" t="n">
        <x:v>6000</x:v>
      </x:c>
      <x:c r="F748" s="36" t="n">
        <x:v>46183</x:v>
      </x:c>
      <x:c r="G748" s="36" t="n">
        <x:v>46188</x:v>
      </x:c>
      <x:c r="H748" t="n">
        <x:v>5</x:v>
      </x:c>
      <x:c r="I748" t="str">
        <x:v>Pago em atraso</x:v>
      </x:c>
    </x:row>
    <x:row r="749">
      <x:c r="A749" t="str">
        <x:v>PAG-000748</x:v>
      </x:c>
      <x:c r="B749" t="str">
        <x:v>IMV-0076</x:v>
      </x:c>
      <x:c r="C749" s="38" t="n">
        <x:v>46143</x:v>
      </x:c>
      <x:c r="D749" s="32" t="n">
        <x:v>6000</x:v>
      </x:c>
      <x:c r="E749" s="32" t="n">
        <x:v>6000</x:v>
      </x:c>
      <x:c r="F749" s="36" t="n">
        <x:v>46152</x:v>
      </x:c>
      <x:c r="G749" s="36" t="n">
        <x:v>46153</x:v>
      </x:c>
      <x:c r="H749" t="n">
        <x:v>1</x:v>
      </x:c>
      <x:c r="I749" t="str">
        <x:v>Pago em atraso</x:v>
      </x:c>
    </x:row>
    <x:row r="750">
      <x:c r="A750" t="str">
        <x:v>PAG-000749</x:v>
      </x:c>
      <x:c r="B750" t="str">
        <x:v>IMV-0076</x:v>
      </x:c>
      <x:c r="C750" s="38" t="n">
        <x:v>46113</x:v>
      </x:c>
      <x:c r="D750" s="32" t="n">
        <x:v>6000</x:v>
      </x:c>
      <x:c r="E750" s="32" t="n">
        <x:v>6000</x:v>
      </x:c>
      <x:c r="F750" s="36" t="n">
        <x:v>46122</x:v>
      </x:c>
      <x:c r="G750" s="36" t="n">
        <x:v>46122</x:v>
      </x:c>
      <x:c r="H750" t="n">
        <x:v>0</x:v>
      </x:c>
      <x:c r="I750" t="str">
        <x:v>Pago em dia</x:v>
      </x:c>
    </x:row>
    <x:row r="751">
      <x:c r="A751" t="str">
        <x:v>PAG-000750</x:v>
      </x:c>
      <x:c r="B751" t="str">
        <x:v>IMV-0076</x:v>
      </x:c>
      <x:c r="C751" s="38" t="n">
        <x:v>46082</x:v>
      </x:c>
      <x:c r="D751" s="32" t="n">
        <x:v>6000</x:v>
      </x:c>
      <x:c r="E751" s="32" t="n">
        <x:v>6000</x:v>
      </x:c>
      <x:c r="F751" s="36" t="n">
        <x:v>46091</x:v>
      </x:c>
      <x:c r="G751" s="36" t="n">
        <x:v>46091</x:v>
      </x:c>
      <x:c r="H751" t="n">
        <x:v>0</x:v>
      </x:c>
      <x:c r="I751" t="str">
        <x:v>Pago em dia</x:v>
      </x:c>
    </x:row>
    <x:row r="752">
      <x:c r="A752" t="str">
        <x:v>PAG-000751</x:v>
      </x:c>
      <x:c r="B752" t="str">
        <x:v>IMV-0076</x:v>
      </x:c>
      <x:c r="C752" s="38" t="n">
        <x:v>46054</x:v>
      </x:c>
      <x:c r="D752" s="32" t="n">
        <x:v>6000</x:v>
      </x:c>
      <x:c r="E752" s="32" t="n">
        <x:v>6000</x:v>
      </x:c>
      <x:c r="F752" s="36" t="n">
        <x:v>46063</x:v>
      </x:c>
      <x:c r="G752" s="36" t="n">
        <x:v>46068</x:v>
      </x:c>
      <x:c r="H752" t="n">
        <x:v>5</x:v>
      </x:c>
      <x:c r="I752" t="str">
        <x:v>Pago em atraso</x:v>
      </x:c>
    </x:row>
    <x:row r="753">
      <x:c r="A753" t="str">
        <x:v>PAG-000752</x:v>
      </x:c>
      <x:c r="B753" t="str">
        <x:v>IMV-0076</x:v>
      </x:c>
      <x:c r="C753" s="38" t="n">
        <x:v>46023</x:v>
      </x:c>
      <x:c r="D753" s="32" t="n">
        <x:v>6000</x:v>
      </x:c>
      <x:c r="E753" s="32" t="n">
        <x:v>6000</x:v>
      </x:c>
      <x:c r="F753" s="36" t="n">
        <x:v>46032</x:v>
      </x:c>
      <x:c r="G753" s="36" t="n">
        <x:v>46032</x:v>
      </x:c>
      <x:c r="H753" t="n">
        <x:v>0</x:v>
      </x:c>
      <x:c r="I753" t="str">
        <x:v>Pago em dia</x:v>
      </x:c>
    </x:row>
    <x:row r="754">
      <x:c r="A754" t="str">
        <x:v>PAG-000753</x:v>
      </x:c>
      <x:c r="B754" t="str">
        <x:v>IMV-0076</x:v>
      </x:c>
      <x:c r="C754" s="38" t="n">
        <x:v>45992</x:v>
      </x:c>
      <x:c r="D754" s="32" t="n">
        <x:v>6000</x:v>
      </x:c>
      <x:c r="E754" s="32" t="n">
        <x:v>6000</x:v>
      </x:c>
      <x:c r="F754" s="36" t="n">
        <x:v>46001</x:v>
      </x:c>
      <x:c r="G754" s="36" t="n">
        <x:v>46001</x:v>
      </x:c>
      <x:c r="H754" t="n">
        <x:v>0</x:v>
      </x:c>
      <x:c r="I754" t="str">
        <x:v>Pago em dia</x:v>
      </x:c>
    </x:row>
    <x:row r="755">
      <x:c r="A755" t="str">
        <x:v>PAG-000754</x:v>
      </x:c>
      <x:c r="B755" t="str">
        <x:v>IMV-0076</x:v>
      </x:c>
      <x:c r="C755" s="38" t="n">
        <x:v>45962</x:v>
      </x:c>
      <x:c r="D755" s="32" t="n">
        <x:v>6000</x:v>
      </x:c>
      <x:c r="E755" s="32" t="n">
        <x:v>6000</x:v>
      </x:c>
      <x:c r="F755" s="36" t="n">
        <x:v>45971</x:v>
      </x:c>
      <x:c r="G755" s="36" t="n">
        <x:v>45971</x:v>
      </x:c>
      <x:c r="H755" t="n">
        <x:v>0</x:v>
      </x:c>
      <x:c r="I755" t="str">
        <x:v>Pago em dia</x:v>
      </x:c>
    </x:row>
    <x:row r="756">
      <x:c r="A756" t="str">
        <x:v>PAG-000755</x:v>
      </x:c>
      <x:c r="B756" t="str">
        <x:v>IMV-0076</x:v>
      </x:c>
      <x:c r="C756" s="38" t="n">
        <x:v>45931</x:v>
      </x:c>
      <x:c r="D756" s="32" t="n">
        <x:v>6000</x:v>
      </x:c>
      <x:c r="E756" s="32" t="n">
        <x:v>6000</x:v>
      </x:c>
      <x:c r="F756" s="36" t="n">
        <x:v>45940</x:v>
      </x:c>
      <x:c r="G756" s="36" t="n">
        <x:v>45941</x:v>
      </x:c>
      <x:c r="H756" t="n">
        <x:v>1</x:v>
      </x:c>
      <x:c r="I756" t="str">
        <x:v>Pago em atraso</x:v>
      </x:c>
    </x:row>
    <x:row r="757">
      <x:c r="A757" t="str">
        <x:v>PAG-000756</x:v>
      </x:c>
      <x:c r="B757" t="str">
        <x:v>IMV-0076</x:v>
      </x:c>
      <x:c r="C757" s="38" t="n">
        <x:v>45901</x:v>
      </x:c>
      <x:c r="D757" s="32" t="n">
        <x:v>6000</x:v>
      </x:c>
      <x:c r="E757" s="32" t="n">
        <x:v>6000</x:v>
      </x:c>
      <x:c r="F757" s="36" t="n">
        <x:v>45910</x:v>
      </x:c>
      <x:c r="G757" s="36" t="n">
        <x:v>45910</x:v>
      </x:c>
      <x:c r="H757" t="n">
        <x:v>0</x:v>
      </x:c>
      <x:c r="I757" t="str">
        <x:v>Pago em dia</x:v>
      </x:c>
    </x:row>
    <x:row r="758">
      <x:c r="A758" t="str">
        <x:v>PAG-000757</x:v>
      </x:c>
      <x:c r="B758" t="str">
        <x:v>IMV-0077</x:v>
      </x:c>
      <x:c r="C758" s="38" t="n">
        <x:v>46235</x:v>
      </x:c>
      <x:c r="D758" s="32" t="n">
        <x:v>6200</x:v>
      </x:c>
      <x:c r="E758" s="32" t="n">
        <x:v>6200</x:v>
      </x:c>
      <x:c r="F758" s="36" t="n">
        <x:v>46244</x:v>
      </x:c>
      <x:c r="G758" s="36" t="n">
        <x:v>46251</x:v>
      </x:c>
      <x:c r="H758" t="n">
        <x:v>7</x:v>
      </x:c>
      <x:c r="I758" t="str">
        <x:v>Pago em atraso</x:v>
      </x:c>
    </x:row>
    <x:row r="759">
      <x:c r="A759" t="str">
        <x:v>PAG-000758</x:v>
      </x:c>
      <x:c r="B759" t="str">
        <x:v>IMV-0077</x:v>
      </x:c>
      <x:c r="C759" s="38" t="n">
        <x:v>46204</x:v>
      </x:c>
      <x:c r="D759" s="32" t="n">
        <x:v>6200</x:v>
      </x:c>
      <x:c r="E759" s="32" t="n">
        <x:v>6200</x:v>
      </x:c>
      <x:c r="F759" s="36" t="n">
        <x:v>46213</x:v>
      </x:c>
      <x:c r="G759" s="36" t="n">
        <x:v>46213</x:v>
      </x:c>
      <x:c r="H759" t="n">
        <x:v>0</x:v>
      </x:c>
      <x:c r="I759" t="str">
        <x:v>Pago em dia</x:v>
      </x:c>
    </x:row>
    <x:row r="760">
      <x:c r="A760" t="str">
        <x:v>PAG-000759</x:v>
      </x:c>
      <x:c r="B760" t="str">
        <x:v>IMV-0077</x:v>
      </x:c>
      <x:c r="C760" s="38" t="n">
        <x:v>46174</x:v>
      </x:c>
      <x:c r="D760" s="32" t="n">
        <x:v>6200</x:v>
      </x:c>
      <x:c r="E760" s="32" t="n">
        <x:v>6200</x:v>
      </x:c>
      <x:c r="F760" s="36" t="n">
        <x:v>46183</x:v>
      </x:c>
      <x:c r="G760" s="36" t="n">
        <x:v>46190</x:v>
      </x:c>
      <x:c r="H760" t="n">
        <x:v>7</x:v>
      </x:c>
      <x:c r="I760" t="str">
        <x:v>Pago em atraso</x:v>
      </x:c>
    </x:row>
    <x:row r="761">
      <x:c r="A761" t="str">
        <x:v>PAG-000760</x:v>
      </x:c>
      <x:c r="B761" t="str">
        <x:v>IMV-0077</x:v>
      </x:c>
      <x:c r="C761" s="38" t="n">
        <x:v>46143</x:v>
      </x:c>
      <x:c r="D761" s="32" t="n">
        <x:v>6200</x:v>
      </x:c>
      <x:c r="E761" s="32" t="n">
        <x:v>6200</x:v>
      </x:c>
      <x:c r="F761" s="36" t="n">
        <x:v>46152</x:v>
      </x:c>
      <x:c r="G761" s="36" t="n">
        <x:v>46152</x:v>
      </x:c>
      <x:c r="H761" t="n">
        <x:v>0</x:v>
      </x:c>
      <x:c r="I761" t="str">
        <x:v>Pago em dia</x:v>
      </x:c>
    </x:row>
    <x:row r="762">
      <x:c r="A762" t="str">
        <x:v>PAG-000761</x:v>
      </x:c>
      <x:c r="B762" t="str">
        <x:v>IMV-0077</x:v>
      </x:c>
      <x:c r="C762" s="38" t="n">
        <x:v>46113</x:v>
      </x:c>
      <x:c r="D762" s="32" t="n">
        <x:v>6200</x:v>
      </x:c>
      <x:c r="E762" s="32" t="n">
        <x:v>6200</x:v>
      </x:c>
      <x:c r="F762" s="36" t="n">
        <x:v>46122</x:v>
      </x:c>
      <x:c r="G762" s="36" t="n">
        <x:v>46134</x:v>
      </x:c>
      <x:c r="H762" t="n">
        <x:v>12</x:v>
      </x:c>
      <x:c r="I762" t="str">
        <x:v>Pago em atraso</x:v>
      </x:c>
    </x:row>
    <x:row r="763">
      <x:c r="A763" t="str">
        <x:v>PAG-000762</x:v>
      </x:c>
      <x:c r="B763" t="str">
        <x:v>IMV-0077</x:v>
      </x:c>
      <x:c r="C763" s="38" t="n">
        <x:v>46082</x:v>
      </x:c>
      <x:c r="D763" s="32" t="n">
        <x:v>6200</x:v>
      </x:c>
      <x:c r="E763" s="32" t="n">
        <x:v>6200</x:v>
      </x:c>
      <x:c r="F763" s="36" t="n">
        <x:v>46091</x:v>
      </x:c>
      <x:c r="G763" s="36" t="n">
        <x:v>46094</x:v>
      </x:c>
      <x:c r="H763" t="n">
        <x:v>3</x:v>
      </x:c>
      <x:c r="I763" t="str">
        <x:v>Pago em atraso</x:v>
      </x:c>
    </x:row>
    <x:row r="764">
      <x:c r="A764" t="str">
        <x:v>PAG-000763</x:v>
      </x:c>
      <x:c r="B764" t="str">
        <x:v>IMV-0077</x:v>
      </x:c>
      <x:c r="C764" s="38" t="n">
        <x:v>46054</x:v>
      </x:c>
      <x:c r="D764" s="32" t="n">
        <x:v>6200</x:v>
      </x:c>
      <x:c r="E764" s="32" t="n">
        <x:v>6200</x:v>
      </x:c>
      <x:c r="F764" s="36" t="n">
        <x:v>46063</x:v>
      </x:c>
      <x:c r="G764" s="36" t="n">
        <x:v>46070</x:v>
      </x:c>
      <x:c r="H764" t="n">
        <x:v>7</x:v>
      </x:c>
      <x:c r="I764" t="str">
        <x:v>Pago em atraso</x:v>
      </x:c>
    </x:row>
    <x:row r="765">
      <x:c r="A765" t="str">
        <x:v>PAG-000764</x:v>
      </x:c>
      <x:c r="B765" t="str">
        <x:v>IMV-0077</x:v>
      </x:c>
      <x:c r="C765" s="38" t="n">
        <x:v>46023</x:v>
      </x:c>
      <x:c r="D765" s="32" t="n">
        <x:v>6200</x:v>
      </x:c>
      <x:c r="E765" s="32" t="n">
        <x:v>6200</x:v>
      </x:c>
      <x:c r="F765" s="36" t="n">
        <x:v>46032</x:v>
      </x:c>
      <x:c r="G765" s="36" t="n">
        <x:v>46035</x:v>
      </x:c>
      <x:c r="H765" t="n">
        <x:v>3</x:v>
      </x:c>
      <x:c r="I765" t="str">
        <x:v>Pago em atraso</x:v>
      </x:c>
    </x:row>
    <x:row r="766">
      <x:c r="A766" t="str">
        <x:v>PAG-000765</x:v>
      </x:c>
      <x:c r="B766" t="str">
        <x:v>IMV-0077</x:v>
      </x:c>
      <x:c r="C766" s="38" t="n">
        <x:v>45992</x:v>
      </x:c>
      <x:c r="D766" s="32" t="n">
        <x:v>6200</x:v>
      </x:c>
      <x:c r="E766" s="32" t="n">
        <x:v>6200</x:v>
      </x:c>
      <x:c r="F766" s="36" t="n">
        <x:v>46001</x:v>
      </x:c>
      <x:c r="G766" s="36" t="n">
        <x:v>46008</x:v>
      </x:c>
      <x:c r="H766" t="n">
        <x:v>7</x:v>
      </x:c>
      <x:c r="I766" t="str">
        <x:v>Pago em atraso</x:v>
      </x:c>
    </x:row>
    <x:row r="767">
      <x:c r="A767" t="str">
        <x:v>PAG-000766</x:v>
      </x:c>
      <x:c r="B767" t="str">
        <x:v>IMV-0077</x:v>
      </x:c>
      <x:c r="C767" s="38" t="n">
        <x:v>45962</x:v>
      </x:c>
      <x:c r="D767" s="32" t="n">
        <x:v>6200</x:v>
      </x:c>
      <x:c r="E767" s="32" t="n">
        <x:v>6200</x:v>
      </x:c>
      <x:c r="F767" s="36" t="n">
        <x:v>45971</x:v>
      </x:c>
      <x:c r="G767" s="36" t="n">
        <x:v>45974</x:v>
      </x:c>
      <x:c r="H767" t="n">
        <x:v>3</x:v>
      </x:c>
      <x:c r="I767" t="str">
        <x:v>Pago em atraso</x:v>
      </x:c>
    </x:row>
    <x:row r="768">
      <x:c r="A768" t="str">
        <x:v>PAG-000767</x:v>
      </x:c>
      <x:c r="B768" t="str">
        <x:v>IMV-0077</x:v>
      </x:c>
      <x:c r="C768" s="38" t="n">
        <x:v>45931</x:v>
      </x:c>
      <x:c r="D768" s="32" t="n">
        <x:v>6200</x:v>
      </x:c>
      <x:c r="E768" s="32" t="n">
        <x:v>6200</x:v>
      </x:c>
      <x:c r="F768" s="36" t="n">
        <x:v>45940</x:v>
      </x:c>
      <x:c r="G768" s="36" t="n">
        <x:v>45940</x:v>
      </x:c>
      <x:c r="H768" t="n">
        <x:v>0</x:v>
      </x:c>
      <x:c r="I768" t="str">
        <x:v>Pago em dia</x:v>
      </x:c>
    </x:row>
    <x:row r="769">
      <x:c r="A769" t="str">
        <x:v>PAG-000768</x:v>
      </x:c>
      <x:c r="B769" t="str">
        <x:v>IMV-0077</x:v>
      </x:c>
      <x:c r="C769" s="38" t="n">
        <x:v>45901</x:v>
      </x:c>
      <x:c r="D769" s="32" t="n">
        <x:v>6200</x:v>
      </x:c>
      <x:c r="E769" s="32" t="n">
        <x:v>6200</x:v>
      </x:c>
      <x:c r="F769" s="36" t="n">
        <x:v>45910</x:v>
      </x:c>
      <x:c r="G769" s="36" t="n">
        <x:v>45922</x:v>
      </x:c>
      <x:c r="H769" t="n">
        <x:v>12</x:v>
      </x:c>
      <x:c r="I769" t="str">
        <x:v>Pago em atraso</x:v>
      </x:c>
    </x:row>
    <x:row r="770">
      <x:c r="A770" t="str">
        <x:v>PAG-000769</x:v>
      </x:c>
      <x:c r="B770" t="str">
        <x:v>IMV-0079</x:v>
      </x:c>
      <x:c r="C770" s="38" t="n">
        <x:v>46235</x:v>
      </x:c>
      <x:c r="D770" s="32" t="n">
        <x:v>1150</x:v>
      </x:c>
      <x:c r="E770" s="32" t="n">
        <x:v>1150</x:v>
      </x:c>
      <x:c r="F770" s="36" t="n">
        <x:v>46244</x:v>
      </x:c>
      <x:c r="G770" s="36" t="n">
        <x:v>46256</x:v>
      </x:c>
      <x:c r="H770" t="n">
        <x:v>12</x:v>
      </x:c>
      <x:c r="I770" t="str">
        <x:v>Pago em atraso</x:v>
      </x:c>
    </x:row>
    <x:row r="771">
      <x:c r="A771" t="str">
        <x:v>PAG-000770</x:v>
      </x:c>
      <x:c r="B771" t="str">
        <x:v>IMV-0079</x:v>
      </x:c>
      <x:c r="C771" s="38" t="n">
        <x:v>46204</x:v>
      </x:c>
      <x:c r="D771" s="32" t="n">
        <x:v>1150</x:v>
      </x:c>
      <x:c r="E771" s="32" t="n">
        <x:v>1150</x:v>
      </x:c>
      <x:c r="F771" s="36" t="n">
        <x:v>46213</x:v>
      </x:c>
      <x:c r="G771" s="36" t="n">
        <x:v>46233</x:v>
      </x:c>
      <x:c r="H771" t="n">
        <x:v>20</x:v>
      </x:c>
      <x:c r="I771" t="str">
        <x:v>Pago em atraso</x:v>
      </x:c>
    </x:row>
    <x:row r="772">
      <x:c r="A772" t="str">
        <x:v>PAG-000771</x:v>
      </x:c>
      <x:c r="B772" t="str">
        <x:v>IMV-0079</x:v>
      </x:c>
      <x:c r="C772" s="38" t="n">
        <x:v>46174</x:v>
      </x:c>
      <x:c r="D772" s="32" t="n">
        <x:v>1150</x:v>
      </x:c>
      <x:c r="E772" s="32" t="n">
        <x:v>0</x:v>
      </x:c>
      <x:c r="F772" s="36" t="n">
        <x:v>46183</x:v>
      </x:c>
      <x:c r="G772" s="36"/>
      <x:c r="H772" t="n">
        <x:v>54</x:v>
      </x:c>
      <x:c r="I772" t="str">
        <x:v>Em aberto</x:v>
      </x:c>
    </x:row>
    <x:row r="773">
      <x:c r="A773" t="str">
        <x:v>PAG-000772</x:v>
      </x:c>
      <x:c r="B773" t="str">
        <x:v>IMV-0079</x:v>
      </x:c>
      <x:c r="C773" s="38" t="n">
        <x:v>46143</x:v>
      </x:c>
      <x:c r="D773" s="32" t="n">
        <x:v>1150</x:v>
      </x:c>
      <x:c r="E773" s="32" t="n">
        <x:v>1150</x:v>
      </x:c>
      <x:c r="F773" s="36" t="n">
        <x:v>46152</x:v>
      </x:c>
      <x:c r="G773" s="36" t="n">
        <x:v>46159</x:v>
      </x:c>
      <x:c r="H773" t="n">
        <x:v>7</x:v>
      </x:c>
      <x:c r="I773" t="str">
        <x:v>Pago em atraso</x:v>
      </x:c>
    </x:row>
    <x:row r="774">
      <x:c r="A774" t="str">
        <x:v>PAG-000773</x:v>
      </x:c>
      <x:c r="B774" t="str">
        <x:v>IMV-0079</x:v>
      </x:c>
      <x:c r="C774" s="38" t="n">
        <x:v>46113</x:v>
      </x:c>
      <x:c r="D774" s="32" t="n">
        <x:v>1150</x:v>
      </x:c>
      <x:c r="E774" s="32" t="n">
        <x:v>1150</x:v>
      </x:c>
      <x:c r="F774" s="36" t="n">
        <x:v>46122</x:v>
      </x:c>
      <x:c r="G774" s="36" t="n">
        <x:v>46142</x:v>
      </x:c>
      <x:c r="H774" t="n">
        <x:v>20</x:v>
      </x:c>
      <x:c r="I774" t="str">
        <x:v>Pago em atraso</x:v>
      </x:c>
    </x:row>
    <x:row r="775">
      <x:c r="A775" t="str">
        <x:v>PAG-000774</x:v>
      </x:c>
      <x:c r="B775" t="str">
        <x:v>IMV-0079</x:v>
      </x:c>
      <x:c r="C775" s="38" t="n">
        <x:v>46082</x:v>
      </x:c>
      <x:c r="D775" s="32" t="n">
        <x:v>1150</x:v>
      </x:c>
      <x:c r="E775" s="32" t="n">
        <x:v>1150</x:v>
      </x:c>
      <x:c r="F775" s="36" t="n">
        <x:v>46091</x:v>
      </x:c>
      <x:c r="G775" s="36" t="n">
        <x:v>46098</x:v>
      </x:c>
      <x:c r="H775" t="n">
        <x:v>7</x:v>
      </x:c>
      <x:c r="I775" t="str">
        <x:v>Pago em atraso</x:v>
      </x:c>
    </x:row>
    <x:row r="776">
      <x:c r="A776" t="str">
        <x:v>PAG-000775</x:v>
      </x:c>
      <x:c r="B776" t="str">
        <x:v>IMV-0079</x:v>
      </x:c>
      <x:c r="C776" s="38" t="n">
        <x:v>46054</x:v>
      </x:c>
      <x:c r="D776" s="32" t="n">
        <x:v>1150</x:v>
      </x:c>
      <x:c r="E776" s="32" t="n">
        <x:v>1150</x:v>
      </x:c>
      <x:c r="F776" s="36" t="n">
        <x:v>46063</x:v>
      </x:c>
      <x:c r="G776" s="36" t="n">
        <x:v>46075</x:v>
      </x:c>
      <x:c r="H776" t="n">
        <x:v>12</x:v>
      </x:c>
      <x:c r="I776" t="str">
        <x:v>Pago em atraso</x:v>
      </x:c>
    </x:row>
    <x:row r="777">
      <x:c r="A777" t="str">
        <x:v>PAG-000776</x:v>
      </x:c>
      <x:c r="B777" t="str">
        <x:v>IMV-0079</x:v>
      </x:c>
      <x:c r="C777" s="38" t="n">
        <x:v>46023</x:v>
      </x:c>
      <x:c r="D777" s="32" t="n">
        <x:v>1150</x:v>
      </x:c>
      <x:c r="E777" s="32" t="n">
        <x:v>1150</x:v>
      </x:c>
      <x:c r="F777" s="36" t="n">
        <x:v>46032</x:v>
      </x:c>
      <x:c r="G777" s="36" t="n">
        <x:v>46044</x:v>
      </x:c>
      <x:c r="H777" t="n">
        <x:v>12</x:v>
      </x:c>
      <x:c r="I777" t="str">
        <x:v>Pago em atraso</x:v>
      </x:c>
    </x:row>
    <x:row r="778">
      <x:c r="A778" t="str">
        <x:v>PAG-000777</x:v>
      </x:c>
      <x:c r="B778" t="str">
        <x:v>IMV-0079</x:v>
      </x:c>
      <x:c r="C778" s="38" t="n">
        <x:v>45992</x:v>
      </x:c>
      <x:c r="D778" s="32" t="n">
        <x:v>1150</x:v>
      </x:c>
      <x:c r="E778" s="32" t="n">
        <x:v>1150</x:v>
      </x:c>
      <x:c r="F778" s="36" t="n">
        <x:v>46001</x:v>
      </x:c>
      <x:c r="G778" s="36" t="n">
        <x:v>46036</x:v>
      </x:c>
      <x:c r="H778" t="n">
        <x:v>35</x:v>
      </x:c>
      <x:c r="I778" t="str">
        <x:v>Pago em atraso</x:v>
      </x:c>
    </x:row>
    <x:row r="779">
      <x:c r="A779" t="str">
        <x:v>PAG-000778</x:v>
      </x:c>
      <x:c r="B779" t="str">
        <x:v>IMV-0079</x:v>
      </x:c>
      <x:c r="C779" s="38" t="n">
        <x:v>45962</x:v>
      </x:c>
      <x:c r="D779" s="32" t="n">
        <x:v>1150</x:v>
      </x:c>
      <x:c r="E779" s="32" t="n">
        <x:v>1150</x:v>
      </x:c>
      <x:c r="F779" s="36" t="n">
        <x:v>45971</x:v>
      </x:c>
      <x:c r="G779" s="36" t="n">
        <x:v>45983</x:v>
      </x:c>
      <x:c r="H779" t="n">
        <x:v>12</x:v>
      </x:c>
      <x:c r="I779" t="str">
        <x:v>Pago em atraso</x:v>
      </x:c>
    </x:row>
    <x:row r="780">
      <x:c r="A780" t="str">
        <x:v>PAG-000779</x:v>
      </x:c>
      <x:c r="B780" t="str">
        <x:v>IMV-0079</x:v>
      </x:c>
      <x:c r="C780" s="38" t="n">
        <x:v>45931</x:v>
      </x:c>
      <x:c r="D780" s="32" t="n">
        <x:v>1150</x:v>
      </x:c>
      <x:c r="E780" s="32" t="n">
        <x:v>1150</x:v>
      </x:c>
      <x:c r="F780" s="36" t="n">
        <x:v>45940</x:v>
      </x:c>
      <x:c r="G780" s="36" t="n">
        <x:v>45960</x:v>
      </x:c>
      <x:c r="H780" t="n">
        <x:v>20</x:v>
      </x:c>
      <x:c r="I780" t="str">
        <x:v>Pago em atraso</x:v>
      </x:c>
    </x:row>
    <x:row r="781">
      <x:c r="A781" t="str">
        <x:v>PAG-000780</x:v>
      </x:c>
      <x:c r="B781" t="str">
        <x:v>IMV-0079</x:v>
      </x:c>
      <x:c r="C781" s="38" t="n">
        <x:v>45901</x:v>
      </x:c>
      <x:c r="D781" s="32" t="n">
        <x:v>1150</x:v>
      </x:c>
      <x:c r="E781" s="32" t="n">
        <x:v>1150</x:v>
      </x:c>
      <x:c r="F781" s="36" t="n">
        <x:v>45910</x:v>
      </x:c>
      <x:c r="G781" s="36" t="n">
        <x:v>45922</x:v>
      </x:c>
      <x:c r="H781" t="n">
        <x:v>12</x:v>
      </x:c>
      <x:c r="I781" t="str">
        <x:v>Pago em atraso</x:v>
      </x:c>
    </x:row>
    <x:row r="782">
      <x:c r="A782" t="str">
        <x:v>PAG-000781</x:v>
      </x:c>
      <x:c r="B782" t="str">
        <x:v>IMV-0080</x:v>
      </x:c>
      <x:c r="C782" s="38" t="n">
        <x:v>46235</x:v>
      </x:c>
      <x:c r="D782" s="32" t="n">
        <x:v>2400</x:v>
      </x:c>
      <x:c r="E782" s="32" t="n">
        <x:v>2400</x:v>
      </x:c>
      <x:c r="F782" s="36" t="n">
        <x:v>46244</x:v>
      </x:c>
      <x:c r="G782" s="36" t="n">
        <x:v>46246</x:v>
      </x:c>
      <x:c r="H782" t="n">
        <x:v>2</x:v>
      </x:c>
      <x:c r="I782" t="str">
        <x:v>Pago em atraso</x:v>
      </x:c>
    </x:row>
    <x:row r="783">
      <x:c r="A783" t="str">
        <x:v>PAG-000782</x:v>
      </x:c>
      <x:c r="B783" t="str">
        <x:v>IMV-0080</x:v>
      </x:c>
      <x:c r="C783" s="38" t="n">
        <x:v>46204</x:v>
      </x:c>
      <x:c r="D783" s="32" t="n">
        <x:v>2400</x:v>
      </x:c>
      <x:c r="E783" s="32" t="n">
        <x:v>2400</x:v>
      </x:c>
      <x:c r="F783" s="36" t="n">
        <x:v>46213</x:v>
      </x:c>
      <x:c r="G783" s="36" t="n">
        <x:v>46213</x:v>
      </x:c>
      <x:c r="H783" t="n">
        <x:v>0</x:v>
      </x:c>
      <x:c r="I783" t="str">
        <x:v>Pago em dia</x:v>
      </x:c>
    </x:row>
    <x:row r="784">
      <x:c r="A784" t="str">
        <x:v>PAG-000783</x:v>
      </x:c>
      <x:c r="B784" t="str">
        <x:v>IMV-0080</x:v>
      </x:c>
      <x:c r="C784" s="38" t="n">
        <x:v>46174</x:v>
      </x:c>
      <x:c r="D784" s="32" t="n">
        <x:v>2400</x:v>
      </x:c>
      <x:c r="E784" s="32" t="n">
        <x:v>2400</x:v>
      </x:c>
      <x:c r="F784" s="36" t="n">
        <x:v>46183</x:v>
      </x:c>
      <x:c r="G784" s="36" t="n">
        <x:v>46184</x:v>
      </x:c>
      <x:c r="H784" t="n">
        <x:v>1</x:v>
      </x:c>
      <x:c r="I784" t="str">
        <x:v>Pago em atraso</x:v>
      </x:c>
    </x:row>
    <x:row r="785">
      <x:c r="A785" t="str">
        <x:v>PAG-000784</x:v>
      </x:c>
      <x:c r="B785" t="str">
        <x:v>IMV-0080</x:v>
      </x:c>
      <x:c r="C785" s="38" t="n">
        <x:v>46143</x:v>
      </x:c>
      <x:c r="D785" s="32" t="n">
        <x:v>2400</x:v>
      </x:c>
      <x:c r="E785" s="32" t="n">
        <x:v>2400</x:v>
      </x:c>
      <x:c r="F785" s="36" t="n">
        <x:v>46152</x:v>
      </x:c>
      <x:c r="G785" s="36" t="n">
        <x:v>46152</x:v>
      </x:c>
      <x:c r="H785" t="n">
        <x:v>0</x:v>
      </x:c>
      <x:c r="I785" t="str">
        <x:v>Pago em dia</x:v>
      </x:c>
    </x:row>
    <x:row r="786">
      <x:c r="A786" t="str">
        <x:v>PAG-000785</x:v>
      </x:c>
      <x:c r="B786" t="str">
        <x:v>IMV-0080</x:v>
      </x:c>
      <x:c r="C786" s="38" t="n">
        <x:v>46113</x:v>
      </x:c>
      <x:c r="D786" s="32" t="n">
        <x:v>2400</x:v>
      </x:c>
      <x:c r="E786" s="32" t="n">
        <x:v>2400</x:v>
      </x:c>
      <x:c r="F786" s="36" t="n">
        <x:v>46122</x:v>
      </x:c>
      <x:c r="G786" s="36" t="n">
        <x:v>46122</x:v>
      </x:c>
      <x:c r="H786" t="n">
        <x:v>0</x:v>
      </x:c>
      <x:c r="I786" t="str">
        <x:v>Pago em dia</x:v>
      </x:c>
    </x:row>
    <x:row r="787">
      <x:c r="A787" t="str">
        <x:v>PAG-000786</x:v>
      </x:c>
      <x:c r="B787" t="str">
        <x:v>IMV-0080</x:v>
      </x:c>
      <x:c r="C787" s="38" t="n">
        <x:v>46082</x:v>
      </x:c>
      <x:c r="D787" s="32" t="n">
        <x:v>2400</x:v>
      </x:c>
      <x:c r="E787" s="32" t="n">
        <x:v>2400</x:v>
      </x:c>
      <x:c r="F787" s="36" t="n">
        <x:v>46091</x:v>
      </x:c>
      <x:c r="G787" s="36" t="n">
        <x:v>46093</x:v>
      </x:c>
      <x:c r="H787" t="n">
        <x:v>2</x:v>
      </x:c>
      <x:c r="I787" t="str">
        <x:v>Pago em atraso</x:v>
      </x:c>
    </x:row>
    <x:row r="788">
      <x:c r="A788" t="str">
        <x:v>PAG-000787</x:v>
      </x:c>
      <x:c r="B788" t="str">
        <x:v>IMV-0080</x:v>
      </x:c>
      <x:c r="C788" s="38" t="n">
        <x:v>46054</x:v>
      </x:c>
      <x:c r="D788" s="32" t="n">
        <x:v>2400</x:v>
      </x:c>
      <x:c r="E788" s="32" t="n">
        <x:v>2400</x:v>
      </x:c>
      <x:c r="F788" s="36" t="n">
        <x:v>46063</x:v>
      </x:c>
      <x:c r="G788" s="36" t="n">
        <x:v>46065</x:v>
      </x:c>
      <x:c r="H788" t="n">
        <x:v>2</x:v>
      </x:c>
      <x:c r="I788" t="str">
        <x:v>Pago em atraso</x:v>
      </x:c>
    </x:row>
    <x:row r="789">
      <x:c r="A789" t="str">
        <x:v>PAG-000788</x:v>
      </x:c>
      <x:c r="B789" t="str">
        <x:v>IMV-0080</x:v>
      </x:c>
      <x:c r="C789" s="38" t="n">
        <x:v>46023</x:v>
      </x:c>
      <x:c r="D789" s="32" t="n">
        <x:v>2400</x:v>
      </x:c>
      <x:c r="E789" s="32" t="n">
        <x:v>2400</x:v>
      </x:c>
      <x:c r="F789" s="36" t="n">
        <x:v>46032</x:v>
      </x:c>
      <x:c r="G789" s="36" t="n">
        <x:v>46032</x:v>
      </x:c>
      <x:c r="H789" t="n">
        <x:v>0</x:v>
      </x:c>
      <x:c r="I789" t="str">
        <x:v>Pago em dia</x:v>
      </x:c>
    </x:row>
    <x:row r="790">
      <x:c r="A790" t="str">
        <x:v>PAG-000789</x:v>
      </x:c>
      <x:c r="B790" t="str">
        <x:v>IMV-0080</x:v>
      </x:c>
      <x:c r="C790" s="38" t="n">
        <x:v>45992</x:v>
      </x:c>
      <x:c r="D790" s="32" t="n">
        <x:v>2400</x:v>
      </x:c>
      <x:c r="E790" s="32" t="n">
        <x:v>2400</x:v>
      </x:c>
      <x:c r="F790" s="36" t="n">
        <x:v>46001</x:v>
      </x:c>
      <x:c r="G790" s="36" t="n">
        <x:v>46001</x:v>
      </x:c>
      <x:c r="H790" t="n">
        <x:v>0</x:v>
      </x:c>
      <x:c r="I790" t="str">
        <x:v>Pago em dia</x:v>
      </x:c>
    </x:row>
    <x:row r="791">
      <x:c r="A791" t="str">
        <x:v>PAG-000790</x:v>
      </x:c>
      <x:c r="B791" t="str">
        <x:v>IMV-0080</x:v>
      </x:c>
      <x:c r="C791" s="38" t="n">
        <x:v>45962</x:v>
      </x:c>
      <x:c r="D791" s="32" t="n">
        <x:v>2400</x:v>
      </x:c>
      <x:c r="E791" s="32" t="n">
        <x:v>2400</x:v>
      </x:c>
      <x:c r="F791" s="36" t="n">
        <x:v>45971</x:v>
      </x:c>
      <x:c r="G791" s="36" t="n">
        <x:v>45971</x:v>
      </x:c>
      <x:c r="H791" t="n">
        <x:v>0</x:v>
      </x:c>
      <x:c r="I791" t="str">
        <x:v>Pago em dia</x:v>
      </x:c>
    </x:row>
    <x:row r="792">
      <x:c r="A792" t="str">
        <x:v>PAG-000791</x:v>
      </x:c>
      <x:c r="B792" t="str">
        <x:v>IMV-0080</x:v>
      </x:c>
      <x:c r="C792" s="38" t="n">
        <x:v>45931</x:v>
      </x:c>
      <x:c r="D792" s="32" t="n">
        <x:v>2400</x:v>
      </x:c>
      <x:c r="E792" s="32" t="n">
        <x:v>2400</x:v>
      </x:c>
      <x:c r="F792" s="36" t="n">
        <x:v>45940</x:v>
      </x:c>
      <x:c r="G792" s="36" t="n">
        <x:v>45941</x:v>
      </x:c>
      <x:c r="H792" t="n">
        <x:v>1</x:v>
      </x:c>
      <x:c r="I792" t="str">
        <x:v>Pago em atraso</x:v>
      </x:c>
    </x:row>
    <x:row r="793">
      <x:c r="A793" t="str">
        <x:v>PAG-000792</x:v>
      </x:c>
      <x:c r="B793" t="str">
        <x:v>IMV-0080</x:v>
      </x:c>
      <x:c r="C793" s="38" t="n">
        <x:v>45901</x:v>
      </x:c>
      <x:c r="D793" s="32" t="n">
        <x:v>2400</x:v>
      </x:c>
      <x:c r="E793" s="32" t="n">
        <x:v>2400</x:v>
      </x:c>
      <x:c r="F793" s="36" t="n">
        <x:v>45910</x:v>
      </x:c>
      <x:c r="G793" s="36" t="n">
        <x:v>45910</x:v>
      </x:c>
      <x:c r="H793" t="n">
        <x:v>0</x:v>
      </x:c>
      <x:c r="I793" t="str">
        <x:v>Pago em dia</x:v>
      </x:c>
    </x:row>
  </x:sheetData>
  <x:conditionalFormatting sqref="H2:H793">
    <x:cfRule type="colorScale" priority="1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4c67f37e77fa428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34" customHeight="1">
      <x:c r="A1" s="26" t="str">
        <x:v>ID_Lead</x:v>
      </x:c>
      <x:c r="B1" s="26" t="str">
        <x:v>ID_Imovel</x:v>
      </x:c>
      <x:c r="C1" s="26" t="str">
        <x:v>Data_Lead</x:v>
      </x:c>
      <x:c r="D1" s="26" t="str">
        <x:v>Canal_Origem</x:v>
      </x:c>
      <x:c r="E1" s="26" t="str">
        <x:v>Corretor</x:v>
      </x:c>
      <x:c r="F1" s="26" t="str">
        <x:v>Houve_Contato</x:v>
      </x:c>
      <x:c r="G1" s="26" t="str">
        <x:v>Houve_Visita</x:v>
      </x:c>
      <x:c r="H1" s="26" t="str">
        <x:v>Houve_Proposta</x:v>
      </x:c>
      <x:c r="I1" s="26" t="str">
        <x:v>Fechou_Contrato</x:v>
      </x:c>
      <x:c r="J1" s="26" t="str">
        <x:v>Dias_Ate_Primeiro_Contato</x:v>
      </x:c>
    </x:row>
    <x:row r="2">
      <x:c r="A2" t="str">
        <x:v>LEAD-000001</x:v>
      </x:c>
      <x:c r="B2" t="str">
        <x:v>IMV-0001</x:v>
      </x:c>
      <x:c r="C2" s="36" t="n">
        <x:v>46229</x:v>
      </x:c>
      <x:c r="D2" t="str">
        <x:v>Portal B</x:v>
      </x:c>
      <x:c r="E2" t="str">
        <x:v>Corretor 02</x:v>
      </x:c>
      <x:c r="F2" t="str">
        <x:v>Sim</x:v>
      </x:c>
      <x:c r="G2" t="str">
        <x:v>Não</x:v>
      </x:c>
      <x:c r="H2" t="str">
        <x:v>Não</x:v>
      </x:c>
      <x:c r="I2" t="str">
        <x:v>Não</x:v>
      </x:c>
      <x:c r="J2" t="n">
        <x:v>1</x:v>
      </x:c>
    </x:row>
    <x:row r="3">
      <x:c r="A3" t="str">
        <x:v>LEAD-000002</x:v>
      </x:c>
      <x:c r="B3" t="str">
        <x:v>IMV-0001</x:v>
      </x:c>
      <x:c r="C3" s="36" t="n">
        <x:v>46134</x:v>
      </x:c>
      <x:c r="D3" t="str">
        <x:v>Instagram</x:v>
      </x:c>
      <x:c r="E3" t="str">
        <x:v>Corretor 01</x:v>
      </x:c>
      <x:c r="F3" t="str">
        <x:v>Sim</x:v>
      </x:c>
      <x:c r="G3" t="str">
        <x:v>Não</x:v>
      </x:c>
      <x:c r="H3" t="str">
        <x:v>Não</x:v>
      </x:c>
      <x:c r="I3" t="str">
        <x:v>Não</x:v>
      </x:c>
      <x:c r="J3" t="n">
        <x:v>0</x:v>
      </x:c>
    </x:row>
    <x:row r="4">
      <x:c r="A4" t="str">
        <x:v>LEAD-000003</x:v>
      </x:c>
      <x:c r="B4" t="str">
        <x:v>IMV-0001</x:v>
      </x:c>
      <x:c r="C4" s="36" t="n">
        <x:v>46074</x:v>
      </x:c>
      <x:c r="D4" t="str">
        <x:v>Portal A</x:v>
      </x:c>
      <x:c r="E4" t="str">
        <x:v>Corretor 03</x:v>
      </x:c>
      <x:c r="F4" t="str">
        <x:v>Não</x:v>
      </x:c>
      <x:c r="G4" t="str">
        <x:v>Não</x:v>
      </x:c>
      <x:c r="H4" t="str">
        <x:v>Não</x:v>
      </x:c>
      <x:c r="I4" t="str">
        <x:v>Não</x:v>
      </x:c>
      <x:c r="J4" t="n">
        <x:v>8</x:v>
      </x:c>
    </x:row>
    <x:row r="5">
      <x:c r="A5" t="str">
        <x:v>LEAD-000004</x:v>
      </x:c>
      <x:c r="B5" t="str">
        <x:v>IMV-0001</x:v>
      </x:c>
      <x:c r="C5" s="36" t="n">
        <x:v>46157</x:v>
      </x:c>
      <x:c r="D5" t="str">
        <x:v>Indicação</x:v>
      </x:c>
      <x:c r="E5" t="str">
        <x:v>Corretor 03</x:v>
      </x:c>
      <x:c r="F5" t="str">
        <x:v>Sim</x:v>
      </x:c>
      <x:c r="G5" t="str">
        <x:v>Não</x:v>
      </x:c>
      <x:c r="H5" t="str">
        <x:v>Não</x:v>
      </x:c>
      <x:c r="I5" t="str">
        <x:v>Não</x:v>
      </x:c>
      <x:c r="J5" t="n">
        <x:v>2</x:v>
      </x:c>
    </x:row>
    <x:row r="6">
      <x:c r="A6" t="str">
        <x:v>LEAD-000005</x:v>
      </x:c>
      <x:c r="B6" t="str">
        <x:v>IMV-0001</x:v>
      </x:c>
      <x:c r="C6" s="36" t="n">
        <x:v>46187</x:v>
      </x:c>
      <x:c r="D6" t="str">
        <x:v>Portal A</x:v>
      </x:c>
      <x:c r="E6" t="str">
        <x:v>Corretor 02</x:v>
      </x:c>
      <x:c r="F6" t="str">
        <x:v>Sim</x:v>
      </x:c>
      <x:c r="G6" t="str">
        <x:v>Não</x:v>
      </x:c>
      <x:c r="H6" t="str">
        <x:v>Não</x:v>
      </x:c>
      <x:c r="I6" t="str">
        <x:v>Não</x:v>
      </x:c>
      <x:c r="J6" t="n">
        <x:v>0</x:v>
      </x:c>
    </x:row>
    <x:row r="7">
      <x:c r="A7" t="str">
        <x:v>LEAD-000006</x:v>
      </x:c>
      <x:c r="B7" t="str">
        <x:v>IMV-0002</x:v>
      </x:c>
      <x:c r="C7" s="36" t="n">
        <x:v>46203</x:v>
      </x:c>
      <x:c r="D7" t="str">
        <x:v>Portal B</x:v>
      </x:c>
      <x:c r="E7" t="str">
        <x:v>Corretor 04</x:v>
      </x:c>
      <x:c r="F7" t="str">
        <x:v>Sim</x:v>
      </x:c>
      <x:c r="G7" t="str">
        <x:v>Sim</x:v>
      </x:c>
      <x:c r="H7" t="str">
        <x:v>Sim</x:v>
      </x:c>
      <x:c r="I7" t="str">
        <x:v>Não</x:v>
      </x:c>
      <x:c r="J7" t="n">
        <x:v>2</x:v>
      </x:c>
    </x:row>
    <x:row r="8">
      <x:c r="A8" t="str">
        <x:v>LEAD-000007</x:v>
      </x:c>
      <x:c r="B8" t="str">
        <x:v>IMV-0002</x:v>
      </x:c>
      <x:c r="C8" s="36" t="n">
        <x:v>46144</x:v>
      </x:c>
      <x:c r="D8" t="str">
        <x:v>Indicação</x:v>
      </x:c>
      <x:c r="E8" t="str">
        <x:v>Corretor 06</x:v>
      </x:c>
      <x:c r="F8" t="str">
        <x:v>Sim</x:v>
      </x:c>
      <x:c r="G8" t="str">
        <x:v>Não</x:v>
      </x:c>
      <x:c r="H8" t="str">
        <x:v>Não</x:v>
      </x:c>
      <x:c r="I8" t="str">
        <x:v>Não</x:v>
      </x:c>
      <x:c r="J8" t="n">
        <x:v>0</x:v>
      </x:c>
    </x:row>
    <x:row r="9">
      <x:c r="A9" t="str">
        <x:v>LEAD-000008</x:v>
      </x:c>
      <x:c r="B9" t="str">
        <x:v>IMV-0002</x:v>
      </x:c>
      <x:c r="C9" s="36" t="n">
        <x:v>46190</x:v>
      </x:c>
      <x:c r="D9" t="str">
        <x:v>Indicação</x:v>
      </x:c>
      <x:c r="E9" t="str">
        <x:v>Corretor 02</x:v>
      </x:c>
      <x:c r="F9" t="str">
        <x:v>Sim</x:v>
      </x:c>
      <x:c r="G9" t="str">
        <x:v>Sim</x:v>
      </x:c>
      <x:c r="H9" t="str">
        <x:v>Não</x:v>
      </x:c>
      <x:c r="I9" t="str">
        <x:v>Não</x:v>
      </x:c>
      <x:c r="J9" t="n">
        <x:v>0</x:v>
      </x:c>
    </x:row>
    <x:row r="10">
      <x:c r="A10" t="str">
        <x:v>LEAD-000009</x:v>
      </x:c>
      <x:c r="B10" t="str">
        <x:v>IMV-0002</x:v>
      </x:c>
      <x:c r="C10" s="36" t="n">
        <x:v>46065</x:v>
      </x:c>
      <x:c r="D10" t="str">
        <x:v>Instagram</x:v>
      </x:c>
      <x:c r="E10" t="str">
        <x:v>Corretor 03</x:v>
      </x:c>
      <x:c r="F10" t="str">
        <x:v>Sim</x:v>
      </x:c>
      <x:c r="G10" t="str">
        <x:v>Não</x:v>
      </x:c>
      <x:c r="H10" t="str">
        <x:v>Não</x:v>
      </x:c>
      <x:c r="I10" t="str">
        <x:v>Não</x:v>
      </x:c>
      <x:c r="J10" t="n">
        <x:v>3</x:v>
      </x:c>
    </x:row>
    <x:row r="11">
      <x:c r="A11" t="str">
        <x:v>LEAD-000010</x:v>
      </x:c>
      <x:c r="B11" t="str">
        <x:v>IMV-0002</x:v>
      </x:c>
      <x:c r="C11" s="36" t="n">
        <x:v>46102</x:v>
      </x:c>
      <x:c r="D11" t="str">
        <x:v>Site próprio</x:v>
      </x:c>
      <x:c r="E11" t="str">
        <x:v>Corretor 05</x:v>
      </x:c>
      <x:c r="F11" t="str">
        <x:v>Não</x:v>
      </x:c>
      <x:c r="G11" t="str">
        <x:v>Não</x:v>
      </x:c>
      <x:c r="H11" t="str">
        <x:v>Não</x:v>
      </x:c>
      <x:c r="I11" t="str">
        <x:v>Não</x:v>
      </x:c>
      <x:c r="J11" t="n">
        <x:v>15</x:v>
      </x:c>
    </x:row>
    <x:row r="12">
      <x:c r="A12" t="str">
        <x:v>LEAD-000011</x:v>
      </x:c>
      <x:c r="B12" t="str">
        <x:v>IMV-0002</x:v>
      </x:c>
      <x:c r="C12" s="36" t="n">
        <x:v>46106</x:v>
      </x:c>
      <x:c r="D12" t="str">
        <x:v>Instagram</x:v>
      </x:c>
      <x:c r="E12" t="str">
        <x:v>Corretor 06</x:v>
      </x:c>
      <x:c r="F12" t="str">
        <x:v>Sim</x:v>
      </x:c>
      <x:c r="G12" t="str">
        <x:v>Sim</x:v>
      </x:c>
      <x:c r="H12" t="str">
        <x:v>Sim</x:v>
      </x:c>
      <x:c r="I12" t="str">
        <x:v>Não</x:v>
      </x:c>
      <x:c r="J12" t="n">
        <x:v>1</x:v>
      </x:c>
    </x:row>
    <x:row r="13">
      <x:c r="A13" t="str">
        <x:v>LEAD-000012</x:v>
      </x:c>
      <x:c r="B13" t="str">
        <x:v>IMV-0002</x:v>
      </x:c>
      <x:c r="C13" s="36" t="n">
        <x:v>46229</x:v>
      </x:c>
      <x:c r="D13" t="str">
        <x:v>Portal A</x:v>
      </x:c>
      <x:c r="E13" t="str">
        <x:v>Corretor 06</x:v>
      </x:c>
      <x:c r="F13" t="str">
        <x:v>Sim</x:v>
      </x:c>
      <x:c r="G13" t="str">
        <x:v>Não</x:v>
      </x:c>
      <x:c r="H13" t="str">
        <x:v>Não</x:v>
      </x:c>
      <x:c r="I13" t="str">
        <x:v>Não</x:v>
      </x:c>
      <x:c r="J13" t="n">
        <x:v>2</x:v>
      </x:c>
    </x:row>
    <x:row r="14">
      <x:c r="A14" t="str">
        <x:v>LEAD-000013</x:v>
      </x:c>
      <x:c r="B14" t="str">
        <x:v>IMV-0002</x:v>
      </x:c>
      <x:c r="C14" s="36" t="n">
        <x:v>46134</x:v>
      </x:c>
      <x:c r="D14" t="str">
        <x:v>Portal A</x:v>
      </x:c>
      <x:c r="E14" t="str">
        <x:v>Corretor 03</x:v>
      </x:c>
      <x:c r="F14" t="str">
        <x:v>Sim</x:v>
      </x:c>
      <x:c r="G14" t="str">
        <x:v>Sim</x:v>
      </x:c>
      <x:c r="H14" t="str">
        <x:v>Sim</x:v>
      </x:c>
      <x:c r="I14" t="str">
        <x:v>Não</x:v>
      </x:c>
      <x:c r="J14" t="n">
        <x:v>1</x:v>
      </x:c>
    </x:row>
    <x:row r="15">
      <x:c r="A15" t="str">
        <x:v>LEAD-000014</x:v>
      </x:c>
      <x:c r="B15" t="str">
        <x:v>IMV-0002</x:v>
      </x:c>
      <x:c r="C15" s="36" t="n">
        <x:v>46220</x:v>
      </x:c>
      <x:c r="D15" t="str">
        <x:v>Indicação</x:v>
      </x:c>
      <x:c r="E15" t="str">
        <x:v>Corretor 01</x:v>
      </x:c>
      <x:c r="F15" t="str">
        <x:v>Sim</x:v>
      </x:c>
      <x:c r="G15" t="str">
        <x:v>Não</x:v>
      </x:c>
      <x:c r="H15" t="str">
        <x:v>Não</x:v>
      </x:c>
      <x:c r="I15" t="str">
        <x:v>Não</x:v>
      </x:c>
      <x:c r="J15" t="n">
        <x:v>1</x:v>
      </x:c>
    </x:row>
    <x:row r="16">
      <x:c r="A16" t="str">
        <x:v>LEAD-000015</x:v>
      </x:c>
      <x:c r="B16" t="str">
        <x:v>IMV-0002</x:v>
      </x:c>
      <x:c r="C16" s="36" t="n">
        <x:v>46058</x:v>
      </x:c>
      <x:c r="D16" t="str">
        <x:v>Instagram</x:v>
      </x:c>
      <x:c r="E16" t="str">
        <x:v>Corretor 05</x:v>
      </x:c>
      <x:c r="F16" t="str">
        <x:v>Sim</x:v>
      </x:c>
      <x:c r="G16" t="str">
        <x:v>Não</x:v>
      </x:c>
      <x:c r="H16" t="str">
        <x:v>Não</x:v>
      </x:c>
      <x:c r="I16" t="str">
        <x:v>Não</x:v>
      </x:c>
      <x:c r="J16" t="n">
        <x:v>4</x:v>
      </x:c>
    </x:row>
    <x:row r="17">
      <x:c r="A17" t="str">
        <x:v>LEAD-000016</x:v>
      </x:c>
      <x:c r="B17" t="str">
        <x:v>IMV-0004</x:v>
      </x:c>
      <x:c r="C17" s="36" t="n">
        <x:v>46169</x:v>
      </x:c>
      <x:c r="D17" t="str">
        <x:v>Indicação</x:v>
      </x:c>
      <x:c r="E17" t="str">
        <x:v>Corretor 01</x:v>
      </x:c>
      <x:c r="F17" t="str">
        <x:v>Sim</x:v>
      </x:c>
      <x:c r="G17" t="str">
        <x:v>Não</x:v>
      </x:c>
      <x:c r="H17" t="str">
        <x:v>Não</x:v>
      </x:c>
      <x:c r="I17" t="str">
        <x:v>Não</x:v>
      </x:c>
      <x:c r="J17" t="n">
        <x:v>1</x:v>
      </x:c>
    </x:row>
    <x:row r="18">
      <x:c r="A18" t="str">
        <x:v>LEAD-000017</x:v>
      </x:c>
      <x:c r="B18" t="str">
        <x:v>IMV-0005</x:v>
      </x:c>
      <x:c r="C18" s="36" t="n">
        <x:v>46117</x:v>
      </x:c>
      <x:c r="D18" t="str">
        <x:v>Instagram</x:v>
      </x:c>
      <x:c r="E18" t="str">
        <x:v>Corretor 01</x:v>
      </x:c>
      <x:c r="F18" t="str">
        <x:v>Sim</x:v>
      </x:c>
      <x:c r="G18" t="str">
        <x:v>Não</x:v>
      </x:c>
      <x:c r="H18" t="str">
        <x:v>Não</x:v>
      </x:c>
      <x:c r="I18" t="str">
        <x:v>Não</x:v>
      </x:c>
      <x:c r="J18" t="n">
        <x:v>4</x:v>
      </x:c>
    </x:row>
    <x:row r="19">
      <x:c r="A19" t="str">
        <x:v>LEAD-000018</x:v>
      </x:c>
      <x:c r="B19" t="str">
        <x:v>IMV-0005</x:v>
      </x:c>
      <x:c r="C19" s="36" t="n">
        <x:v>46070</x:v>
      </x:c>
      <x:c r="D19" t="str">
        <x:v>Indicação</x:v>
      </x:c>
      <x:c r="E19" t="str">
        <x:v>Corretor 08</x:v>
      </x:c>
      <x:c r="F19" t="str">
        <x:v>Sim</x:v>
      </x:c>
      <x:c r="G19" t="str">
        <x:v>Não</x:v>
      </x:c>
      <x:c r="H19" t="str">
        <x:v>Não</x:v>
      </x:c>
      <x:c r="I19" t="str">
        <x:v>Não</x:v>
      </x:c>
      <x:c r="J19" t="n">
        <x:v>0</x:v>
      </x:c>
    </x:row>
    <x:row r="20">
      <x:c r="A20" t="str">
        <x:v>LEAD-000019</x:v>
      </x:c>
      <x:c r="B20" t="str">
        <x:v>IMV-0008</x:v>
      </x:c>
      <x:c r="C20" s="36" t="n">
        <x:v>46109</x:v>
      </x:c>
      <x:c r="D20" t="str">
        <x:v>Site próprio</x:v>
      </x:c>
      <x:c r="E20" t="str">
        <x:v>Corretor 03</x:v>
      </x:c>
      <x:c r="F20" t="str">
        <x:v>Sim</x:v>
      </x:c>
      <x:c r="G20" t="str">
        <x:v>Não</x:v>
      </x:c>
      <x:c r="H20" t="str">
        <x:v>Não</x:v>
      </x:c>
      <x:c r="I20" t="str">
        <x:v>Não</x:v>
      </x:c>
      <x:c r="J20" t="n">
        <x:v>0</x:v>
      </x:c>
    </x:row>
    <x:row r="21">
      <x:c r="A21" t="str">
        <x:v>LEAD-000020</x:v>
      </x:c>
      <x:c r="B21" t="str">
        <x:v>IMV-0008</x:v>
      </x:c>
      <x:c r="C21" s="36" t="n">
        <x:v>46109</x:v>
      </x:c>
      <x:c r="D21" t="str">
        <x:v>Indicação</x:v>
      </x:c>
      <x:c r="E21" t="str">
        <x:v>Corretor 05</x:v>
      </x:c>
      <x:c r="F21" t="str">
        <x:v>Não</x:v>
      </x:c>
      <x:c r="G21" t="str">
        <x:v>Não</x:v>
      </x:c>
      <x:c r="H21" t="str">
        <x:v>Não</x:v>
      </x:c>
      <x:c r="I21" t="str">
        <x:v>Não</x:v>
      </x:c>
      <x:c r="J21" t="n">
        <x:v>11</x:v>
      </x:c>
    </x:row>
    <x:row r="22">
      <x:c r="A22" t="str">
        <x:v>LEAD-000021</x:v>
      </x:c>
      <x:c r="B22" t="str">
        <x:v>IMV-0008</x:v>
      </x:c>
      <x:c r="C22" s="36" t="n">
        <x:v>46169</x:v>
      </x:c>
      <x:c r="D22" t="str">
        <x:v>Site próprio</x:v>
      </x:c>
      <x:c r="E22" t="str">
        <x:v>Corretor 08</x:v>
      </x:c>
      <x:c r="F22" t="str">
        <x:v>Sim</x:v>
      </x:c>
      <x:c r="G22" t="str">
        <x:v>Não</x:v>
      </x:c>
      <x:c r="H22" t="str">
        <x:v>Não</x:v>
      </x:c>
      <x:c r="I22" t="str">
        <x:v>Não</x:v>
      </x:c>
      <x:c r="J22" t="n">
        <x:v>3</x:v>
      </x:c>
    </x:row>
    <x:row r="23">
      <x:c r="A23" t="str">
        <x:v>LEAD-000022</x:v>
      </x:c>
      <x:c r="B23" t="str">
        <x:v>IMV-0008</x:v>
      </x:c>
      <x:c r="C23" s="36" t="n">
        <x:v>46101</x:v>
      </x:c>
      <x:c r="D23" t="str">
        <x:v>Site próprio</x:v>
      </x:c>
      <x:c r="E23" t="str">
        <x:v>Corretor 06</x:v>
      </x:c>
      <x:c r="F23" t="str">
        <x:v>Sim</x:v>
      </x:c>
      <x:c r="G23" t="str">
        <x:v>Não</x:v>
      </x:c>
      <x:c r="H23" t="str">
        <x:v>Não</x:v>
      </x:c>
      <x:c r="I23" t="str">
        <x:v>Não</x:v>
      </x:c>
      <x:c r="J23" t="n">
        <x:v>1</x:v>
      </x:c>
    </x:row>
    <x:row r="24">
      <x:c r="A24" t="str">
        <x:v>LEAD-000023</x:v>
      </x:c>
      <x:c r="B24" t="str">
        <x:v>IMV-0008</x:v>
      </x:c>
      <x:c r="C24" s="36" t="n">
        <x:v>46124</x:v>
      </x:c>
      <x:c r="D24" t="str">
        <x:v>Portal B</x:v>
      </x:c>
      <x:c r="E24" t="str">
        <x:v>Corretor 01</x:v>
      </x:c>
      <x:c r="F24" t="str">
        <x:v>Sim</x:v>
      </x:c>
      <x:c r="G24" t="str">
        <x:v>Não</x:v>
      </x:c>
      <x:c r="H24" t="str">
        <x:v>Não</x:v>
      </x:c>
      <x:c r="I24" t="str">
        <x:v>Não</x:v>
      </x:c>
      <x:c r="J24" t="n">
        <x:v>4</x:v>
      </x:c>
    </x:row>
    <x:row r="25">
      <x:c r="A25" t="str">
        <x:v>LEAD-000024</x:v>
      </x:c>
      <x:c r="B25" t="str">
        <x:v>IMV-0008</x:v>
      </x:c>
      <x:c r="C25" s="36" t="n">
        <x:v>46102</x:v>
      </x:c>
      <x:c r="D25" t="str">
        <x:v>Indicação</x:v>
      </x:c>
      <x:c r="E25" t="str">
        <x:v>Corretor 01</x:v>
      </x:c>
      <x:c r="F25" t="str">
        <x:v>Sim</x:v>
      </x:c>
      <x:c r="G25" t="str">
        <x:v>Sim</x:v>
      </x:c>
      <x:c r="H25" t="str">
        <x:v>Sim</x:v>
      </x:c>
      <x:c r="I25" t="str">
        <x:v>Não</x:v>
      </x:c>
      <x:c r="J25" t="n">
        <x:v>3</x:v>
      </x:c>
    </x:row>
    <x:row r="26">
      <x:c r="A26" t="str">
        <x:v>LEAD-000025</x:v>
      </x:c>
      <x:c r="B26" t="str">
        <x:v>IMV-0009</x:v>
      </x:c>
      <x:c r="C26" s="36" t="n">
        <x:v>46226</x:v>
      </x:c>
      <x:c r="D26" t="str">
        <x:v>Site próprio</x:v>
      </x:c>
      <x:c r="E26" t="str">
        <x:v>Corretor 03</x:v>
      </x:c>
      <x:c r="F26" t="str">
        <x:v>Sim</x:v>
      </x:c>
      <x:c r="G26" t="str">
        <x:v>Não</x:v>
      </x:c>
      <x:c r="H26" t="str">
        <x:v>Não</x:v>
      </x:c>
      <x:c r="I26" t="str">
        <x:v>Não</x:v>
      </x:c>
      <x:c r="J26" t="n">
        <x:v>3</x:v>
      </x:c>
    </x:row>
    <x:row r="27">
      <x:c r="A27" t="str">
        <x:v>LEAD-000026</x:v>
      </x:c>
      <x:c r="B27" t="str">
        <x:v>IMV-0009</x:v>
      </x:c>
      <x:c r="C27" s="36" t="n">
        <x:v>46139</x:v>
      </x:c>
      <x:c r="D27" t="str">
        <x:v>Site próprio</x:v>
      </x:c>
      <x:c r="E27" t="str">
        <x:v>Corretor 04</x:v>
      </x:c>
      <x:c r="F27" t="str">
        <x:v>Sim</x:v>
      </x:c>
      <x:c r="G27" t="str">
        <x:v>Não</x:v>
      </x:c>
      <x:c r="H27" t="str">
        <x:v>Não</x:v>
      </x:c>
      <x:c r="I27" t="str">
        <x:v>Não</x:v>
      </x:c>
      <x:c r="J27" t="n">
        <x:v>1</x:v>
      </x:c>
    </x:row>
    <x:row r="28">
      <x:c r="A28" t="str">
        <x:v>LEAD-000027</x:v>
      </x:c>
      <x:c r="B28" t="str">
        <x:v>IMV-0009</x:v>
      </x:c>
      <x:c r="C28" s="36" t="n">
        <x:v>46150</x:v>
      </x:c>
      <x:c r="D28" t="str">
        <x:v>Instagram</x:v>
      </x:c>
      <x:c r="E28" t="str">
        <x:v>Corretor 01</x:v>
      </x:c>
      <x:c r="F28" t="str">
        <x:v>Sim</x:v>
      </x:c>
      <x:c r="G28" t="str">
        <x:v>Não</x:v>
      </x:c>
      <x:c r="H28" t="str">
        <x:v>Não</x:v>
      </x:c>
      <x:c r="I28" t="str">
        <x:v>Não</x:v>
      </x:c>
      <x:c r="J28" t="n">
        <x:v>1</x:v>
      </x:c>
    </x:row>
    <x:row r="29">
      <x:c r="A29" t="str">
        <x:v>LEAD-000028</x:v>
      </x:c>
      <x:c r="B29" t="str">
        <x:v>IMV-0009</x:v>
      </x:c>
      <x:c r="C29" s="36" t="n">
        <x:v>46172</x:v>
      </x:c>
      <x:c r="D29" t="str">
        <x:v>Site próprio</x:v>
      </x:c>
      <x:c r="E29" t="str">
        <x:v>Corretor 06</x:v>
      </x:c>
      <x:c r="F29" t="str">
        <x:v>Sim</x:v>
      </x:c>
      <x:c r="G29" t="str">
        <x:v>Não</x:v>
      </x:c>
      <x:c r="H29" t="str">
        <x:v>Não</x:v>
      </x:c>
      <x:c r="I29" t="str">
        <x:v>Não</x:v>
      </x:c>
      <x:c r="J29" t="n">
        <x:v>1</x:v>
      </x:c>
    </x:row>
    <x:row r="30">
      <x:c r="A30" t="str">
        <x:v>LEAD-000029</x:v>
      </x:c>
      <x:c r="B30" t="str">
        <x:v>IMV-0009</x:v>
      </x:c>
      <x:c r="C30" s="36" t="n">
        <x:v>46215</x:v>
      </x:c>
      <x:c r="D30" t="str">
        <x:v>Portal B</x:v>
      </x:c>
      <x:c r="E30" t="str">
        <x:v>Corretor 07</x:v>
      </x:c>
      <x:c r="F30" t="str">
        <x:v>Sim</x:v>
      </x:c>
      <x:c r="G30" t="str">
        <x:v>Não</x:v>
      </x:c>
      <x:c r="H30" t="str">
        <x:v>Não</x:v>
      </x:c>
      <x:c r="I30" t="str">
        <x:v>Não</x:v>
      </x:c>
      <x:c r="J30" t="n">
        <x:v>0</x:v>
      </x:c>
    </x:row>
    <x:row r="31">
      <x:c r="A31" t="str">
        <x:v>LEAD-000030</x:v>
      </x:c>
      <x:c r="B31" t="str">
        <x:v>IMV-0012</x:v>
      </x:c>
      <x:c r="C31" s="36" t="n">
        <x:v>46198</x:v>
      </x:c>
      <x:c r="D31" t="str">
        <x:v>Indicação</x:v>
      </x:c>
      <x:c r="E31" t="str">
        <x:v>Corretor 01</x:v>
      </x:c>
      <x:c r="F31" t="str">
        <x:v>Sim</x:v>
      </x:c>
      <x:c r="G31" t="str">
        <x:v>Não</x:v>
      </x:c>
      <x:c r="H31" t="str">
        <x:v>Não</x:v>
      </x:c>
      <x:c r="I31" t="str">
        <x:v>Não</x:v>
      </x:c>
      <x:c r="J31" t="n">
        <x:v>3</x:v>
      </x:c>
    </x:row>
    <x:row r="32">
      <x:c r="A32" t="str">
        <x:v>LEAD-000031</x:v>
      </x:c>
      <x:c r="B32" t="str">
        <x:v>IMV-0012</x:v>
      </x:c>
      <x:c r="C32" s="36" t="n">
        <x:v>46112</x:v>
      </x:c>
      <x:c r="D32" t="str">
        <x:v>Indicação</x:v>
      </x:c>
      <x:c r="E32" t="str">
        <x:v>Corretor 08</x:v>
      </x:c>
      <x:c r="F32" t="str">
        <x:v>Sim</x:v>
      </x:c>
      <x:c r="G32" t="str">
        <x:v>Não</x:v>
      </x:c>
      <x:c r="H32" t="str">
        <x:v>Não</x:v>
      </x:c>
      <x:c r="I32" t="str">
        <x:v>Não</x:v>
      </x:c>
      <x:c r="J32" t="n">
        <x:v>3</x:v>
      </x:c>
    </x:row>
    <x:row r="33">
      <x:c r="A33" t="str">
        <x:v>LEAD-000032</x:v>
      </x:c>
      <x:c r="B33" t="str">
        <x:v>IMV-0012</x:v>
      </x:c>
      <x:c r="C33" s="36" t="n">
        <x:v>46129</x:v>
      </x:c>
      <x:c r="D33" t="str">
        <x:v>Indicação</x:v>
      </x:c>
      <x:c r="E33" t="str">
        <x:v>Corretor 02</x:v>
      </x:c>
      <x:c r="F33" t="str">
        <x:v>Sim</x:v>
      </x:c>
      <x:c r="G33" t="str">
        <x:v>Não</x:v>
      </x:c>
      <x:c r="H33" t="str">
        <x:v>Não</x:v>
      </x:c>
      <x:c r="I33" t="str">
        <x:v>Não</x:v>
      </x:c>
      <x:c r="J33" t="n">
        <x:v>3</x:v>
      </x:c>
    </x:row>
    <x:row r="34">
      <x:c r="A34" t="str">
        <x:v>LEAD-000033</x:v>
      </x:c>
      <x:c r="B34" t="str">
        <x:v>IMV-0013</x:v>
      </x:c>
      <x:c r="C34" s="36" t="n">
        <x:v>46118</x:v>
      </x:c>
      <x:c r="D34" t="str">
        <x:v>Portal B</x:v>
      </x:c>
      <x:c r="E34" t="str">
        <x:v>Corretor 05</x:v>
      </x:c>
      <x:c r="F34" t="str">
        <x:v>Não</x:v>
      </x:c>
      <x:c r="G34" t="str">
        <x:v>Não</x:v>
      </x:c>
      <x:c r="H34" t="str">
        <x:v>Não</x:v>
      </x:c>
      <x:c r="I34" t="str">
        <x:v>Não</x:v>
      </x:c>
      <x:c r="J34" t="n">
        <x:v>15</x:v>
      </x:c>
    </x:row>
    <x:row r="35">
      <x:c r="A35" t="str">
        <x:v>LEAD-000034</x:v>
      </x:c>
      <x:c r="B35" t="str">
        <x:v>IMV-0013</x:v>
      </x:c>
      <x:c r="C35" s="36" t="n">
        <x:v>46136</x:v>
      </x:c>
      <x:c r="D35" t="str">
        <x:v>Indicação</x:v>
      </x:c>
      <x:c r="E35" t="str">
        <x:v>Corretor 01</x:v>
      </x:c>
      <x:c r="F35" t="str">
        <x:v>Não</x:v>
      </x:c>
      <x:c r="G35" t="str">
        <x:v>Não</x:v>
      </x:c>
      <x:c r="H35" t="str">
        <x:v>Não</x:v>
      </x:c>
      <x:c r="I35" t="str">
        <x:v>Não</x:v>
      </x:c>
      <x:c r="J35" t="n">
        <x:v>11</x:v>
      </x:c>
    </x:row>
    <x:row r="36">
      <x:c r="A36" t="str">
        <x:v>LEAD-000035</x:v>
      </x:c>
      <x:c r="B36" t="str">
        <x:v>IMV-0013</x:v>
      </x:c>
      <x:c r="C36" s="36" t="n">
        <x:v>46218</x:v>
      </x:c>
      <x:c r="D36" t="str">
        <x:v>Indicação</x:v>
      </x:c>
      <x:c r="E36" t="str">
        <x:v>Corretor 08</x:v>
      </x:c>
      <x:c r="F36" t="str">
        <x:v>Não</x:v>
      </x:c>
      <x:c r="G36" t="str">
        <x:v>Não</x:v>
      </x:c>
      <x:c r="H36" t="str">
        <x:v>Não</x:v>
      </x:c>
      <x:c r="I36" t="str">
        <x:v>Não</x:v>
      </x:c>
      <x:c r="J36" t="n">
        <x:v>13</x:v>
      </x:c>
    </x:row>
    <x:row r="37">
      <x:c r="A37" t="str">
        <x:v>LEAD-000036</x:v>
      </x:c>
      <x:c r="B37" t="str">
        <x:v>IMV-0013</x:v>
      </x:c>
      <x:c r="C37" s="36" t="n">
        <x:v>46173</x:v>
      </x:c>
      <x:c r="D37" t="str">
        <x:v>Site próprio</x:v>
      </x:c>
      <x:c r="E37" t="str">
        <x:v>Corretor 01</x:v>
      </x:c>
      <x:c r="F37" t="str">
        <x:v>Sim</x:v>
      </x:c>
      <x:c r="G37" t="str">
        <x:v>Não</x:v>
      </x:c>
      <x:c r="H37" t="str">
        <x:v>Não</x:v>
      </x:c>
      <x:c r="I37" t="str">
        <x:v>Não</x:v>
      </x:c>
      <x:c r="J37" t="n">
        <x:v>2</x:v>
      </x:c>
    </x:row>
    <x:row r="38">
      <x:c r="A38" t="str">
        <x:v>LEAD-000037</x:v>
      </x:c>
      <x:c r="B38" t="str">
        <x:v>IMV-0013</x:v>
      </x:c>
      <x:c r="C38" s="36" t="n">
        <x:v>46221</x:v>
      </x:c>
      <x:c r="D38" t="str">
        <x:v>Portal A</x:v>
      </x:c>
      <x:c r="E38" t="str">
        <x:v>Corretor 03</x:v>
      </x:c>
      <x:c r="F38" t="str">
        <x:v>Sim</x:v>
      </x:c>
      <x:c r="G38" t="str">
        <x:v>Não</x:v>
      </x:c>
      <x:c r="H38" t="str">
        <x:v>Não</x:v>
      </x:c>
      <x:c r="I38" t="str">
        <x:v>Não</x:v>
      </x:c>
      <x:c r="J38" t="n">
        <x:v>2</x:v>
      </x:c>
    </x:row>
    <x:row r="39">
      <x:c r="A39" t="str">
        <x:v>LEAD-000038</x:v>
      </x:c>
      <x:c r="B39" t="str">
        <x:v>IMV-0014</x:v>
      </x:c>
      <x:c r="C39" s="36" t="n">
        <x:v>46074</x:v>
      </x:c>
      <x:c r="D39" t="str">
        <x:v>Indicação</x:v>
      </x:c>
      <x:c r="E39" t="str">
        <x:v>Corretor 05</x:v>
      </x:c>
      <x:c r="F39" t="str">
        <x:v>Sim</x:v>
      </x:c>
      <x:c r="G39" t="str">
        <x:v>Não</x:v>
      </x:c>
      <x:c r="H39" t="str">
        <x:v>Não</x:v>
      </x:c>
      <x:c r="I39" t="str">
        <x:v>Não</x:v>
      </x:c>
      <x:c r="J39" t="n">
        <x:v>3</x:v>
      </x:c>
    </x:row>
    <x:row r="40">
      <x:c r="A40" t="str">
        <x:v>LEAD-000039</x:v>
      </x:c>
      <x:c r="B40" t="str">
        <x:v>IMV-0015</x:v>
      </x:c>
      <x:c r="C40" s="36" t="n">
        <x:v>46073</x:v>
      </x:c>
      <x:c r="D40" t="str">
        <x:v>Instagram</x:v>
      </x:c>
      <x:c r="E40" t="str">
        <x:v>Corretor 04</x:v>
      </x:c>
      <x:c r="F40" t="str">
        <x:v>Sim</x:v>
      </x:c>
      <x:c r="G40" t="str">
        <x:v>Não</x:v>
      </x:c>
      <x:c r="H40" t="str">
        <x:v>Não</x:v>
      </x:c>
      <x:c r="I40" t="str">
        <x:v>Não</x:v>
      </x:c>
      <x:c r="J40" t="n">
        <x:v>2</x:v>
      </x:c>
    </x:row>
    <x:row r="41">
      <x:c r="A41" t="str">
        <x:v>LEAD-000040</x:v>
      </x:c>
      <x:c r="B41" t="str">
        <x:v>IMV-0016</x:v>
      </x:c>
      <x:c r="C41" s="36" t="n">
        <x:v>46220</x:v>
      </x:c>
      <x:c r="D41" t="str">
        <x:v>Site próprio</x:v>
      </x:c>
      <x:c r="E41" t="str">
        <x:v>Corretor 08</x:v>
      </x:c>
      <x:c r="F41" t="str">
        <x:v>Sim</x:v>
      </x:c>
      <x:c r="G41" t="str">
        <x:v>Não</x:v>
      </x:c>
      <x:c r="H41" t="str">
        <x:v>Não</x:v>
      </x:c>
      <x:c r="I41" t="str">
        <x:v>Não</x:v>
      </x:c>
      <x:c r="J41" t="n">
        <x:v>0</x:v>
      </x:c>
    </x:row>
    <x:row r="42">
      <x:c r="A42" t="str">
        <x:v>LEAD-000041</x:v>
      </x:c>
      <x:c r="B42" t="str">
        <x:v>IMV-0016</x:v>
      </x:c>
      <x:c r="C42" s="36" t="n">
        <x:v>46132</x:v>
      </x:c>
      <x:c r="D42" t="str">
        <x:v>Instagram</x:v>
      </x:c>
      <x:c r="E42" t="str">
        <x:v>Corretor 07</x:v>
      </x:c>
      <x:c r="F42" t="str">
        <x:v>Sim</x:v>
      </x:c>
      <x:c r="G42" t="str">
        <x:v>Não</x:v>
      </x:c>
      <x:c r="H42" t="str">
        <x:v>Não</x:v>
      </x:c>
      <x:c r="I42" t="str">
        <x:v>Não</x:v>
      </x:c>
      <x:c r="J42" t="n">
        <x:v>2</x:v>
      </x:c>
    </x:row>
    <x:row r="43">
      <x:c r="A43" t="str">
        <x:v>LEAD-000042</x:v>
      </x:c>
      <x:c r="B43" t="str">
        <x:v>IMV-0018</x:v>
      </x:c>
      <x:c r="C43" s="36" t="n">
        <x:v>46191</x:v>
      </x:c>
      <x:c r="D43" t="str">
        <x:v>Instagram</x:v>
      </x:c>
      <x:c r="E43" t="str">
        <x:v>Corretor 06</x:v>
      </x:c>
      <x:c r="F43" t="str">
        <x:v>Sim</x:v>
      </x:c>
      <x:c r="G43" t="str">
        <x:v>Não</x:v>
      </x:c>
      <x:c r="H43" t="str">
        <x:v>Não</x:v>
      </x:c>
      <x:c r="I43" t="str">
        <x:v>Não</x:v>
      </x:c>
      <x:c r="J43" t="n">
        <x:v>3</x:v>
      </x:c>
    </x:row>
    <x:row r="44">
      <x:c r="A44" t="str">
        <x:v>LEAD-000043</x:v>
      </x:c>
      <x:c r="B44" t="str">
        <x:v>IMV-0018</x:v>
      </x:c>
      <x:c r="C44" s="36" t="n">
        <x:v>46112</x:v>
      </x:c>
      <x:c r="D44" t="str">
        <x:v>Indicação</x:v>
      </x:c>
      <x:c r="E44" t="str">
        <x:v>Corretor 05</x:v>
      </x:c>
      <x:c r="F44" t="str">
        <x:v>Sim</x:v>
      </x:c>
      <x:c r="G44" t="str">
        <x:v>Não</x:v>
      </x:c>
      <x:c r="H44" t="str">
        <x:v>Não</x:v>
      </x:c>
      <x:c r="I44" t="str">
        <x:v>Não</x:v>
      </x:c>
      <x:c r="J44" t="n">
        <x:v>4</x:v>
      </x:c>
    </x:row>
    <x:row r="45">
      <x:c r="A45" t="str">
        <x:v>LEAD-000044</x:v>
      </x:c>
      <x:c r="B45" t="str">
        <x:v>IMV-0018</x:v>
      </x:c>
      <x:c r="C45" s="36" t="n">
        <x:v>46182</x:v>
      </x:c>
      <x:c r="D45" t="str">
        <x:v>Instagram</x:v>
      </x:c>
      <x:c r="E45" t="str">
        <x:v>Corretor 06</x:v>
      </x:c>
      <x:c r="F45" t="str">
        <x:v>Não</x:v>
      </x:c>
      <x:c r="G45" t="str">
        <x:v>Não</x:v>
      </x:c>
      <x:c r="H45" t="str">
        <x:v>Não</x:v>
      </x:c>
      <x:c r="I45" t="str">
        <x:v>Não</x:v>
      </x:c>
      <x:c r="J45" t="n">
        <x:v>11</x:v>
      </x:c>
    </x:row>
    <x:row r="46">
      <x:c r="A46" t="str">
        <x:v>LEAD-000045</x:v>
      </x:c>
      <x:c r="B46" t="str">
        <x:v>IMV-0018</x:v>
      </x:c>
      <x:c r="C46" s="36" t="n">
        <x:v>46093</x:v>
      </x:c>
      <x:c r="D46" t="str">
        <x:v>Instagram</x:v>
      </x:c>
      <x:c r="E46" t="str">
        <x:v>Corretor 05</x:v>
      </x:c>
      <x:c r="F46" t="str">
        <x:v>Sim</x:v>
      </x:c>
      <x:c r="G46" t="str">
        <x:v>Sim</x:v>
      </x:c>
      <x:c r="H46" t="str">
        <x:v>Não</x:v>
      </x:c>
      <x:c r="I46" t="str">
        <x:v>Não</x:v>
      </x:c>
      <x:c r="J46" t="n">
        <x:v>4</x:v>
      </x:c>
    </x:row>
    <x:row r="47">
      <x:c r="A47" t="str">
        <x:v>LEAD-000046</x:v>
      </x:c>
      <x:c r="B47" t="str">
        <x:v>IMV-0018</x:v>
      </x:c>
      <x:c r="C47" s="36" t="n">
        <x:v>46098</x:v>
      </x:c>
      <x:c r="D47" t="str">
        <x:v>Portal B</x:v>
      </x:c>
      <x:c r="E47" t="str">
        <x:v>Corretor 07</x:v>
      </x:c>
      <x:c r="F47" t="str">
        <x:v>Sim</x:v>
      </x:c>
      <x:c r="G47" t="str">
        <x:v>Sim</x:v>
      </x:c>
      <x:c r="H47" t="str">
        <x:v>Não</x:v>
      </x:c>
      <x:c r="I47" t="str">
        <x:v>Não</x:v>
      </x:c>
      <x:c r="J47" t="n">
        <x:v>1</x:v>
      </x:c>
    </x:row>
    <x:row r="48">
      <x:c r="A48" t="str">
        <x:v>LEAD-000047</x:v>
      </x:c>
      <x:c r="B48" t="str">
        <x:v>IMV-0019</x:v>
      </x:c>
      <x:c r="C48" s="36" t="n">
        <x:v>46231</x:v>
      </x:c>
      <x:c r="D48" t="str">
        <x:v>Portal B</x:v>
      </x:c>
      <x:c r="E48" t="str">
        <x:v>Corretor 05</x:v>
      </x:c>
      <x:c r="F48" t="str">
        <x:v>Sim</x:v>
      </x:c>
      <x:c r="G48" t="str">
        <x:v>Não</x:v>
      </x:c>
      <x:c r="H48" t="str">
        <x:v>Não</x:v>
      </x:c>
      <x:c r="I48" t="str">
        <x:v>Não</x:v>
      </x:c>
      <x:c r="J48" t="n">
        <x:v>0</x:v>
      </x:c>
    </x:row>
    <x:row r="49">
      <x:c r="A49" t="str">
        <x:v>LEAD-000048</x:v>
      </x:c>
      <x:c r="B49" t="str">
        <x:v>IMV-0019</x:v>
      </x:c>
      <x:c r="C49" s="36" t="n">
        <x:v>46090</x:v>
      </x:c>
      <x:c r="D49" t="str">
        <x:v>Indicação</x:v>
      </x:c>
      <x:c r="E49" t="str">
        <x:v>Corretor 03</x:v>
      </x:c>
      <x:c r="F49" t="str">
        <x:v>Sim</x:v>
      </x:c>
      <x:c r="G49" t="str">
        <x:v>Não</x:v>
      </x:c>
      <x:c r="H49" t="str">
        <x:v>Não</x:v>
      </x:c>
      <x:c r="I49" t="str">
        <x:v>Não</x:v>
      </x:c>
      <x:c r="J49" t="n">
        <x:v>2</x:v>
      </x:c>
    </x:row>
    <x:row r="50">
      <x:c r="A50" t="str">
        <x:v>LEAD-000049</x:v>
      </x:c>
      <x:c r="B50" t="str">
        <x:v>IMV-0020</x:v>
      </x:c>
      <x:c r="C50" s="36" t="n">
        <x:v>46178</x:v>
      </x:c>
      <x:c r="D50" t="str">
        <x:v>Portal B</x:v>
      </x:c>
      <x:c r="E50" t="str">
        <x:v>Corretor 04</x:v>
      </x:c>
      <x:c r="F50" t="str">
        <x:v>Sim</x:v>
      </x:c>
      <x:c r="G50" t="str">
        <x:v>Não</x:v>
      </x:c>
      <x:c r="H50" t="str">
        <x:v>Não</x:v>
      </x:c>
      <x:c r="I50" t="str">
        <x:v>Não</x:v>
      </x:c>
      <x:c r="J50" t="n">
        <x:v>0</x:v>
      </x:c>
    </x:row>
    <x:row r="51">
      <x:c r="A51" t="str">
        <x:v>LEAD-000050</x:v>
      </x:c>
      <x:c r="B51" t="str">
        <x:v>IMV-0020</x:v>
      </x:c>
      <x:c r="C51" s="36" t="n">
        <x:v>46216</x:v>
      </x:c>
      <x:c r="D51" t="str">
        <x:v>Instagram</x:v>
      </x:c>
      <x:c r="E51" t="str">
        <x:v>Corretor 04</x:v>
      </x:c>
      <x:c r="F51" t="str">
        <x:v>Sim</x:v>
      </x:c>
      <x:c r="G51" t="str">
        <x:v>Não</x:v>
      </x:c>
      <x:c r="H51" t="str">
        <x:v>Não</x:v>
      </x:c>
      <x:c r="I51" t="str">
        <x:v>Não</x:v>
      </x:c>
      <x:c r="J51" t="n">
        <x:v>3</x:v>
      </x:c>
    </x:row>
    <x:row r="52">
      <x:c r="A52" t="str">
        <x:v>LEAD-000051</x:v>
      </x:c>
      <x:c r="B52" t="str">
        <x:v>IMV-0020</x:v>
      </x:c>
      <x:c r="C52" s="36" t="n">
        <x:v>46091</x:v>
      </x:c>
      <x:c r="D52" t="str">
        <x:v>Instagram</x:v>
      </x:c>
      <x:c r="E52" t="str">
        <x:v>Corretor 01</x:v>
      </x:c>
      <x:c r="F52" t="str">
        <x:v>Sim</x:v>
      </x:c>
      <x:c r="G52" t="str">
        <x:v>Não</x:v>
      </x:c>
      <x:c r="H52" t="str">
        <x:v>Não</x:v>
      </x:c>
      <x:c r="I52" t="str">
        <x:v>Não</x:v>
      </x:c>
      <x:c r="J52" t="n">
        <x:v>0</x:v>
      </x:c>
    </x:row>
    <x:row r="53">
      <x:c r="A53" t="str">
        <x:v>LEAD-000052</x:v>
      </x:c>
      <x:c r="B53" t="str">
        <x:v>IMV-0020</x:v>
      </x:c>
      <x:c r="C53" s="36" t="n">
        <x:v>46146</x:v>
      </x:c>
      <x:c r="D53" t="str">
        <x:v>Portal A</x:v>
      </x:c>
      <x:c r="E53" t="str">
        <x:v>Corretor 02</x:v>
      </x:c>
      <x:c r="F53" t="str">
        <x:v>Não</x:v>
      </x:c>
      <x:c r="G53" t="str">
        <x:v>Não</x:v>
      </x:c>
      <x:c r="H53" t="str">
        <x:v>Não</x:v>
      </x:c>
      <x:c r="I53" t="str">
        <x:v>Não</x:v>
      </x:c>
      <x:c r="J53" t="n">
        <x:v>9</x:v>
      </x:c>
    </x:row>
    <x:row r="54">
      <x:c r="A54" t="str">
        <x:v>LEAD-000053</x:v>
      </x:c>
      <x:c r="B54" t="str">
        <x:v>IMV-0020</x:v>
      </x:c>
      <x:c r="C54" s="36" t="n">
        <x:v>46143</x:v>
      </x:c>
      <x:c r="D54" t="str">
        <x:v>Portal A</x:v>
      </x:c>
      <x:c r="E54" t="str">
        <x:v>Corretor 04</x:v>
      </x:c>
      <x:c r="F54" t="str">
        <x:v>Sim</x:v>
      </x:c>
      <x:c r="G54" t="str">
        <x:v>Não</x:v>
      </x:c>
      <x:c r="H54" t="str">
        <x:v>Não</x:v>
      </x:c>
      <x:c r="I54" t="str">
        <x:v>Não</x:v>
      </x:c>
      <x:c r="J54" t="n">
        <x:v>4</x:v>
      </x:c>
    </x:row>
    <x:row r="55">
      <x:c r="A55" t="str">
        <x:v>LEAD-000054</x:v>
      </x:c>
      <x:c r="B55" t="str">
        <x:v>IMV-0021</x:v>
      </x:c>
      <x:c r="C55" s="36" t="n">
        <x:v>46230</x:v>
      </x:c>
      <x:c r="D55" t="str">
        <x:v>Portal B</x:v>
      </x:c>
      <x:c r="E55" t="str">
        <x:v>Corretor 04</x:v>
      </x:c>
      <x:c r="F55" t="str">
        <x:v>Sim</x:v>
      </x:c>
      <x:c r="G55" t="str">
        <x:v>Sim</x:v>
      </x:c>
      <x:c r="H55" t="str">
        <x:v>Sim</x:v>
      </x:c>
      <x:c r="I55" t="str">
        <x:v>Não</x:v>
      </x:c>
      <x:c r="J55" t="n">
        <x:v>3</x:v>
      </x:c>
    </x:row>
    <x:row r="56">
      <x:c r="A56" t="str">
        <x:v>LEAD-000055</x:v>
      </x:c>
      <x:c r="B56" t="str">
        <x:v>IMV-0021</x:v>
      </x:c>
      <x:c r="C56" s="36" t="n">
        <x:v>46065</x:v>
      </x:c>
      <x:c r="D56" t="str">
        <x:v>Indicação</x:v>
      </x:c>
      <x:c r="E56" t="str">
        <x:v>Corretor 06</x:v>
      </x:c>
      <x:c r="F56" t="str">
        <x:v>Sim</x:v>
      </x:c>
      <x:c r="G56" t="str">
        <x:v>Sim</x:v>
      </x:c>
      <x:c r="H56" t="str">
        <x:v>Sim</x:v>
      </x:c>
      <x:c r="I56" t="str">
        <x:v>Não</x:v>
      </x:c>
      <x:c r="J56" t="n">
        <x:v>1</x:v>
      </x:c>
    </x:row>
    <x:row r="57">
      <x:c r="A57" t="str">
        <x:v>LEAD-000056</x:v>
      </x:c>
      <x:c r="B57" t="str">
        <x:v>IMV-0021</x:v>
      </x:c>
      <x:c r="C57" s="36" t="n">
        <x:v>46137</x:v>
      </x:c>
      <x:c r="D57" t="str">
        <x:v>Portal B</x:v>
      </x:c>
      <x:c r="E57" t="str">
        <x:v>Corretor 07</x:v>
      </x:c>
      <x:c r="F57" t="str">
        <x:v>Não</x:v>
      </x:c>
      <x:c r="G57" t="str">
        <x:v>Não</x:v>
      </x:c>
      <x:c r="H57" t="str">
        <x:v>Não</x:v>
      </x:c>
      <x:c r="I57" t="str">
        <x:v>Não</x:v>
      </x:c>
      <x:c r="J57" t="n">
        <x:v>8</x:v>
      </x:c>
    </x:row>
    <x:row r="58">
      <x:c r="A58" t="str">
        <x:v>LEAD-000057</x:v>
      </x:c>
      <x:c r="B58" t="str">
        <x:v>IMV-0021</x:v>
      </x:c>
      <x:c r="C58" s="36" t="n">
        <x:v>46150</x:v>
      </x:c>
      <x:c r="D58" t="str">
        <x:v>Portal B</x:v>
      </x:c>
      <x:c r="E58" t="str">
        <x:v>Corretor 01</x:v>
      </x:c>
      <x:c r="F58" t="str">
        <x:v>Sim</x:v>
      </x:c>
      <x:c r="G58" t="str">
        <x:v>Não</x:v>
      </x:c>
      <x:c r="H58" t="str">
        <x:v>Não</x:v>
      </x:c>
      <x:c r="I58" t="str">
        <x:v>Não</x:v>
      </x:c>
      <x:c r="J58" t="n">
        <x:v>1</x:v>
      </x:c>
    </x:row>
    <x:row r="59">
      <x:c r="A59" t="str">
        <x:v>LEAD-000058</x:v>
      </x:c>
      <x:c r="B59" t="str">
        <x:v>IMV-0021</x:v>
      </x:c>
      <x:c r="C59" s="36" t="n">
        <x:v>46107</x:v>
      </x:c>
      <x:c r="D59" t="str">
        <x:v>Indicação</x:v>
      </x:c>
      <x:c r="E59" t="str">
        <x:v>Corretor 08</x:v>
      </x:c>
      <x:c r="F59" t="str">
        <x:v>Sim</x:v>
      </x:c>
      <x:c r="G59" t="str">
        <x:v>Não</x:v>
      </x:c>
      <x:c r="H59" t="str">
        <x:v>Não</x:v>
      </x:c>
      <x:c r="I59" t="str">
        <x:v>Não</x:v>
      </x:c>
      <x:c r="J59" t="n">
        <x:v>4</x:v>
      </x:c>
    </x:row>
    <x:row r="60">
      <x:c r="A60" t="str">
        <x:v>LEAD-000059</x:v>
      </x:c>
      <x:c r="B60" t="str">
        <x:v>IMV-0022</x:v>
      </x:c>
      <x:c r="C60" s="36" t="n">
        <x:v>46208</x:v>
      </x:c>
      <x:c r="D60" t="str">
        <x:v>Instagram</x:v>
      </x:c>
      <x:c r="E60" t="str">
        <x:v>Corretor 02</x:v>
      </x:c>
      <x:c r="F60" t="str">
        <x:v>Sim</x:v>
      </x:c>
      <x:c r="G60" t="str">
        <x:v>Não</x:v>
      </x:c>
      <x:c r="H60" t="str">
        <x:v>Não</x:v>
      </x:c>
      <x:c r="I60" t="str">
        <x:v>Não</x:v>
      </x:c>
      <x:c r="J60" t="n">
        <x:v>4</x:v>
      </x:c>
    </x:row>
    <x:row r="61">
      <x:c r="A61" t="str">
        <x:v>LEAD-000060</x:v>
      </x:c>
      <x:c r="B61" t="str">
        <x:v>IMV-0022</x:v>
      </x:c>
      <x:c r="C61" s="36" t="n">
        <x:v>46123</x:v>
      </x:c>
      <x:c r="D61" t="str">
        <x:v>Portal A</x:v>
      </x:c>
      <x:c r="E61" t="str">
        <x:v>Corretor 02</x:v>
      </x:c>
      <x:c r="F61" t="str">
        <x:v>Sim</x:v>
      </x:c>
      <x:c r="G61" t="str">
        <x:v>Sim</x:v>
      </x:c>
      <x:c r="H61" t="str">
        <x:v>Sim</x:v>
      </x:c>
      <x:c r="I61" t="str">
        <x:v>Não</x:v>
      </x:c>
      <x:c r="J61" t="n">
        <x:v>3</x:v>
      </x:c>
    </x:row>
    <x:row r="62">
      <x:c r="A62" t="str">
        <x:v>LEAD-000061</x:v>
      </x:c>
      <x:c r="B62" t="str">
        <x:v>IMV-0023</x:v>
      </x:c>
      <x:c r="C62" s="36" t="n">
        <x:v>46144</x:v>
      </x:c>
      <x:c r="D62" t="str">
        <x:v>Instagram</x:v>
      </x:c>
      <x:c r="E62" t="str">
        <x:v>Corretor 04</x:v>
      </x:c>
      <x:c r="F62" t="str">
        <x:v>Sim</x:v>
      </x:c>
      <x:c r="G62" t="str">
        <x:v>Não</x:v>
      </x:c>
      <x:c r="H62" t="str">
        <x:v>Não</x:v>
      </x:c>
      <x:c r="I62" t="str">
        <x:v>Não</x:v>
      </x:c>
      <x:c r="J62" t="n">
        <x:v>3</x:v>
      </x:c>
    </x:row>
    <x:row r="63">
      <x:c r="A63" t="str">
        <x:v>LEAD-000062</x:v>
      </x:c>
      <x:c r="B63" t="str">
        <x:v>IMV-0024</x:v>
      </x:c>
      <x:c r="C63" s="36" t="n">
        <x:v>46082</x:v>
      </x:c>
      <x:c r="D63" t="str">
        <x:v>Indicação</x:v>
      </x:c>
      <x:c r="E63" t="str">
        <x:v>Corretor 05</x:v>
      </x:c>
      <x:c r="F63" t="str">
        <x:v>Sim</x:v>
      </x:c>
      <x:c r="G63" t="str">
        <x:v>Não</x:v>
      </x:c>
      <x:c r="H63" t="str">
        <x:v>Não</x:v>
      </x:c>
      <x:c r="I63" t="str">
        <x:v>Não</x:v>
      </x:c>
      <x:c r="J63" t="n">
        <x:v>1</x:v>
      </x:c>
    </x:row>
    <x:row r="64">
      <x:c r="A64" t="str">
        <x:v>LEAD-000063</x:v>
      </x:c>
      <x:c r="B64" t="str">
        <x:v>IMV-0024</x:v>
      </x:c>
      <x:c r="C64" s="36" t="n">
        <x:v>46150</x:v>
      </x:c>
      <x:c r="D64" t="str">
        <x:v>Portal B</x:v>
      </x:c>
      <x:c r="E64" t="str">
        <x:v>Corretor 02</x:v>
      </x:c>
      <x:c r="F64" t="str">
        <x:v>Sim</x:v>
      </x:c>
      <x:c r="G64" t="str">
        <x:v>Não</x:v>
      </x:c>
      <x:c r="H64" t="str">
        <x:v>Não</x:v>
      </x:c>
      <x:c r="I64" t="str">
        <x:v>Não</x:v>
      </x:c>
      <x:c r="J64" t="n">
        <x:v>3</x:v>
      </x:c>
    </x:row>
    <x:row r="65">
      <x:c r="A65" t="str">
        <x:v>LEAD-000064</x:v>
      </x:c>
      <x:c r="B65" t="str">
        <x:v>IMV-0024</x:v>
      </x:c>
      <x:c r="C65" s="36" t="n">
        <x:v>46077</x:v>
      </x:c>
      <x:c r="D65" t="str">
        <x:v>Instagram</x:v>
      </x:c>
      <x:c r="E65" t="str">
        <x:v>Corretor 05</x:v>
      </x:c>
      <x:c r="F65" t="str">
        <x:v>Sim</x:v>
      </x:c>
      <x:c r="G65" t="str">
        <x:v>Não</x:v>
      </x:c>
      <x:c r="H65" t="str">
        <x:v>Não</x:v>
      </x:c>
      <x:c r="I65" t="str">
        <x:v>Não</x:v>
      </x:c>
      <x:c r="J65" t="n">
        <x:v>4</x:v>
      </x:c>
    </x:row>
    <x:row r="66">
      <x:c r="A66" t="str">
        <x:v>LEAD-000065</x:v>
      </x:c>
      <x:c r="B66" t="str">
        <x:v>IMV-0024</x:v>
      </x:c>
      <x:c r="C66" s="36" t="n">
        <x:v>46211</x:v>
      </x:c>
      <x:c r="D66" t="str">
        <x:v>Instagram</x:v>
      </x:c>
      <x:c r="E66" t="str">
        <x:v>Corretor 05</x:v>
      </x:c>
      <x:c r="F66" t="str">
        <x:v>Sim</x:v>
      </x:c>
      <x:c r="G66" t="str">
        <x:v>Sim</x:v>
      </x:c>
      <x:c r="H66" t="str">
        <x:v>Sim</x:v>
      </x:c>
      <x:c r="I66" t="str">
        <x:v>Não</x:v>
      </x:c>
      <x:c r="J66" t="n">
        <x:v>0</x:v>
      </x:c>
    </x:row>
    <x:row r="67">
      <x:c r="A67" t="str">
        <x:v>LEAD-000066</x:v>
      </x:c>
      <x:c r="B67" t="str">
        <x:v>IMV-0024</x:v>
      </x:c>
      <x:c r="C67" s="36" t="n">
        <x:v>46192</x:v>
      </x:c>
      <x:c r="D67" t="str">
        <x:v>Indicação</x:v>
      </x:c>
      <x:c r="E67" t="str">
        <x:v>Corretor 03</x:v>
      </x:c>
      <x:c r="F67" t="str">
        <x:v>Sim</x:v>
      </x:c>
      <x:c r="G67" t="str">
        <x:v>Não</x:v>
      </x:c>
      <x:c r="H67" t="str">
        <x:v>Não</x:v>
      </x:c>
      <x:c r="I67" t="str">
        <x:v>Não</x:v>
      </x:c>
      <x:c r="J67" t="n">
        <x:v>4</x:v>
      </x:c>
    </x:row>
    <x:row r="68">
      <x:c r="A68" t="str">
        <x:v>LEAD-000067</x:v>
      </x:c>
      <x:c r="B68" t="str">
        <x:v>IMV-0025</x:v>
      </x:c>
      <x:c r="C68" s="36" t="n">
        <x:v>46179</x:v>
      </x:c>
      <x:c r="D68" t="str">
        <x:v>Instagram</x:v>
      </x:c>
      <x:c r="E68" t="str">
        <x:v>Corretor 08</x:v>
      </x:c>
      <x:c r="F68" t="str">
        <x:v>Sim</x:v>
      </x:c>
      <x:c r="G68" t="str">
        <x:v>Não</x:v>
      </x:c>
      <x:c r="H68" t="str">
        <x:v>Não</x:v>
      </x:c>
      <x:c r="I68" t="str">
        <x:v>Não</x:v>
      </x:c>
      <x:c r="J68" t="n">
        <x:v>0</x:v>
      </x:c>
    </x:row>
    <x:row r="69">
      <x:c r="A69" t="str">
        <x:v>LEAD-000068</x:v>
      </x:c>
      <x:c r="B69" t="str">
        <x:v>IMV-0026</x:v>
      </x:c>
      <x:c r="C69" s="36" t="n">
        <x:v>46166</x:v>
      </x:c>
      <x:c r="D69" t="str">
        <x:v>Portal B</x:v>
      </x:c>
      <x:c r="E69" t="str">
        <x:v>Corretor 06</x:v>
      </x:c>
      <x:c r="F69" t="str">
        <x:v>Sim</x:v>
      </x:c>
      <x:c r="G69" t="str">
        <x:v>Não</x:v>
      </x:c>
      <x:c r="H69" t="str">
        <x:v>Não</x:v>
      </x:c>
      <x:c r="I69" t="str">
        <x:v>Não</x:v>
      </x:c>
      <x:c r="J69" t="n">
        <x:v>3</x:v>
      </x:c>
    </x:row>
    <x:row r="70">
      <x:c r="A70" t="str">
        <x:v>LEAD-000069</x:v>
      </x:c>
      <x:c r="B70" t="str">
        <x:v>IMV-0027</x:v>
      </x:c>
      <x:c r="C70" s="36" t="n">
        <x:v>46068</x:v>
      </x:c>
      <x:c r="D70" t="str">
        <x:v>Instagram</x:v>
      </x:c>
      <x:c r="E70" t="str">
        <x:v>Corretor 07</x:v>
      </x:c>
      <x:c r="F70" t="str">
        <x:v>Não</x:v>
      </x:c>
      <x:c r="G70" t="str">
        <x:v>Não</x:v>
      </x:c>
      <x:c r="H70" t="str">
        <x:v>Não</x:v>
      </x:c>
      <x:c r="I70" t="str">
        <x:v>Não</x:v>
      </x:c>
      <x:c r="J70" t="n">
        <x:v>12</x:v>
      </x:c>
    </x:row>
    <x:row r="71">
      <x:c r="A71" t="str">
        <x:v>LEAD-000070</x:v>
      </x:c>
      <x:c r="B71" t="str">
        <x:v>IMV-0027</x:v>
      </x:c>
      <x:c r="C71" s="36" t="n">
        <x:v>46189</x:v>
      </x:c>
      <x:c r="D71" t="str">
        <x:v>Instagram</x:v>
      </x:c>
      <x:c r="E71" t="str">
        <x:v>Corretor 07</x:v>
      </x:c>
      <x:c r="F71" t="str">
        <x:v>Sim</x:v>
      </x:c>
      <x:c r="G71" t="str">
        <x:v>Não</x:v>
      </x:c>
      <x:c r="H71" t="str">
        <x:v>Não</x:v>
      </x:c>
      <x:c r="I71" t="str">
        <x:v>Não</x:v>
      </x:c>
      <x:c r="J71" t="n">
        <x:v>3</x:v>
      </x:c>
    </x:row>
    <x:row r="72">
      <x:c r="A72" t="str">
        <x:v>LEAD-000071</x:v>
      </x:c>
      <x:c r="B72" t="str">
        <x:v>IMV-0028</x:v>
      </x:c>
      <x:c r="C72" s="36" t="n">
        <x:v>46205</x:v>
      </x:c>
      <x:c r="D72" t="str">
        <x:v>Site próprio</x:v>
      </x:c>
      <x:c r="E72" t="str">
        <x:v>Corretor 01</x:v>
      </x:c>
      <x:c r="F72" t="str">
        <x:v>Sim</x:v>
      </x:c>
      <x:c r="G72" t="str">
        <x:v>Não</x:v>
      </x:c>
      <x:c r="H72" t="str">
        <x:v>Não</x:v>
      </x:c>
      <x:c r="I72" t="str">
        <x:v>Não</x:v>
      </x:c>
      <x:c r="J72" t="n">
        <x:v>0</x:v>
      </x:c>
    </x:row>
    <x:row r="73">
      <x:c r="A73" t="str">
        <x:v>LEAD-000072</x:v>
      </x:c>
      <x:c r="B73" t="str">
        <x:v>IMV-0028</x:v>
      </x:c>
      <x:c r="C73" s="36" t="n">
        <x:v>46138</x:v>
      </x:c>
      <x:c r="D73" t="str">
        <x:v>Instagram</x:v>
      </x:c>
      <x:c r="E73" t="str">
        <x:v>Corretor 07</x:v>
      </x:c>
      <x:c r="F73" t="str">
        <x:v>Sim</x:v>
      </x:c>
      <x:c r="G73" t="str">
        <x:v>Não</x:v>
      </x:c>
      <x:c r="H73" t="str">
        <x:v>Não</x:v>
      </x:c>
      <x:c r="I73" t="str">
        <x:v>Não</x:v>
      </x:c>
      <x:c r="J73" t="n">
        <x:v>1</x:v>
      </x:c>
    </x:row>
    <x:row r="74">
      <x:c r="A74" t="str">
        <x:v>LEAD-000073</x:v>
      </x:c>
      <x:c r="B74" t="str">
        <x:v>IMV-0028</x:v>
      </x:c>
      <x:c r="C74" s="36" t="n">
        <x:v>46119</x:v>
      </x:c>
      <x:c r="D74" t="str">
        <x:v>Instagram</x:v>
      </x:c>
      <x:c r="E74" t="str">
        <x:v>Corretor 03</x:v>
      </x:c>
      <x:c r="F74" t="str">
        <x:v>Sim</x:v>
      </x:c>
      <x:c r="G74" t="str">
        <x:v>Não</x:v>
      </x:c>
      <x:c r="H74" t="str">
        <x:v>Não</x:v>
      </x:c>
      <x:c r="I74" t="str">
        <x:v>Não</x:v>
      </x:c>
      <x:c r="J74" t="n">
        <x:v>0</x:v>
      </x:c>
    </x:row>
    <x:row r="75">
      <x:c r="A75" t="str">
        <x:v>LEAD-000074</x:v>
      </x:c>
      <x:c r="B75" t="str">
        <x:v>IMV-0028</x:v>
      </x:c>
      <x:c r="C75" s="36" t="n">
        <x:v>46070</x:v>
      </x:c>
      <x:c r="D75" t="str">
        <x:v>Indicação</x:v>
      </x:c>
      <x:c r="E75" t="str">
        <x:v>Corretor 08</x:v>
      </x:c>
      <x:c r="F75" t="str">
        <x:v>Sim</x:v>
      </x:c>
      <x:c r="G75" t="str">
        <x:v>Não</x:v>
      </x:c>
      <x:c r="H75" t="str">
        <x:v>Não</x:v>
      </x:c>
      <x:c r="I75" t="str">
        <x:v>Não</x:v>
      </x:c>
      <x:c r="J75" t="n">
        <x:v>2</x:v>
      </x:c>
    </x:row>
    <x:row r="76">
      <x:c r="A76" t="str">
        <x:v>LEAD-000075</x:v>
      </x:c>
      <x:c r="B76" t="str">
        <x:v>IMV-0028</x:v>
      </x:c>
      <x:c r="C76" s="36" t="n">
        <x:v>46075</x:v>
      </x:c>
      <x:c r="D76" t="str">
        <x:v>Indicação</x:v>
      </x:c>
      <x:c r="E76" t="str">
        <x:v>Corretor 07</x:v>
      </x:c>
      <x:c r="F76" t="str">
        <x:v>Sim</x:v>
      </x:c>
      <x:c r="G76" t="str">
        <x:v>Sim</x:v>
      </x:c>
      <x:c r="H76" t="str">
        <x:v>Sim</x:v>
      </x:c>
      <x:c r="I76" t="str">
        <x:v>Sim</x:v>
      </x:c>
      <x:c r="J76" t="n">
        <x:v>4</x:v>
      </x:c>
    </x:row>
    <x:row r="77">
      <x:c r="A77" t="str">
        <x:v>LEAD-000076</x:v>
      </x:c>
      <x:c r="B77" t="str">
        <x:v>IMV-0028</x:v>
      </x:c>
      <x:c r="C77" s="36" t="n">
        <x:v>46123</x:v>
      </x:c>
      <x:c r="D77" t="str">
        <x:v>Site próprio</x:v>
      </x:c>
      <x:c r="E77" t="str">
        <x:v>Corretor 07</x:v>
      </x:c>
      <x:c r="F77" t="str">
        <x:v>Sim</x:v>
      </x:c>
      <x:c r="G77" t="str">
        <x:v>Não</x:v>
      </x:c>
      <x:c r="H77" t="str">
        <x:v>Não</x:v>
      </x:c>
      <x:c r="I77" t="str">
        <x:v>Não</x:v>
      </x:c>
      <x:c r="J77" t="n">
        <x:v>2</x:v>
      </x:c>
    </x:row>
    <x:row r="78">
      <x:c r="A78" t="str">
        <x:v>LEAD-000077</x:v>
      </x:c>
      <x:c r="B78" t="str">
        <x:v>IMV-0028</x:v>
      </x:c>
      <x:c r="C78" s="36" t="n">
        <x:v>46149</x:v>
      </x:c>
      <x:c r="D78" t="str">
        <x:v>Indicação</x:v>
      </x:c>
      <x:c r="E78" t="str">
        <x:v>Corretor 03</x:v>
      </x:c>
      <x:c r="F78" t="str">
        <x:v>Sim</x:v>
      </x:c>
      <x:c r="G78" t="str">
        <x:v>Não</x:v>
      </x:c>
      <x:c r="H78" t="str">
        <x:v>Não</x:v>
      </x:c>
      <x:c r="I78" t="str">
        <x:v>Não</x:v>
      </x:c>
      <x:c r="J78" t="n">
        <x:v>2</x:v>
      </x:c>
    </x:row>
    <x:row r="79">
      <x:c r="A79" t="str">
        <x:v>LEAD-000078</x:v>
      </x:c>
      <x:c r="B79" t="str">
        <x:v>IMV-0028</x:v>
      </x:c>
      <x:c r="C79" s="36" t="n">
        <x:v>46227</x:v>
      </x:c>
      <x:c r="D79" t="str">
        <x:v>Instagram</x:v>
      </x:c>
      <x:c r="E79" t="str">
        <x:v>Corretor 08</x:v>
      </x:c>
      <x:c r="F79" t="str">
        <x:v>Sim</x:v>
      </x:c>
      <x:c r="G79" t="str">
        <x:v>Não</x:v>
      </x:c>
      <x:c r="H79" t="str">
        <x:v>Não</x:v>
      </x:c>
      <x:c r="I79" t="str">
        <x:v>Não</x:v>
      </x:c>
      <x:c r="J79" t="n">
        <x:v>4</x:v>
      </x:c>
    </x:row>
    <x:row r="80">
      <x:c r="A80" t="str">
        <x:v>LEAD-000079</x:v>
      </x:c>
      <x:c r="B80" t="str">
        <x:v>IMV-0028</x:v>
      </x:c>
      <x:c r="C80" s="36" t="n">
        <x:v>46094</x:v>
      </x:c>
      <x:c r="D80" t="str">
        <x:v>Indicação</x:v>
      </x:c>
      <x:c r="E80" t="str">
        <x:v>Corretor 04</x:v>
      </x:c>
      <x:c r="F80" t="str">
        <x:v>Não</x:v>
      </x:c>
      <x:c r="G80" t="str">
        <x:v>Não</x:v>
      </x:c>
      <x:c r="H80" t="str">
        <x:v>Não</x:v>
      </x:c>
      <x:c r="I80" t="str">
        <x:v>Não</x:v>
      </x:c>
      <x:c r="J80" t="n">
        <x:v>6</x:v>
      </x:c>
    </x:row>
    <x:row r="81">
      <x:c r="A81" t="str">
        <x:v>LEAD-000080</x:v>
      </x:c>
      <x:c r="B81" t="str">
        <x:v>IMV-0028</x:v>
      </x:c>
      <x:c r="C81" s="36" t="n">
        <x:v>46229</x:v>
      </x:c>
      <x:c r="D81" t="str">
        <x:v>Indicação</x:v>
      </x:c>
      <x:c r="E81" t="str">
        <x:v>Corretor 01</x:v>
      </x:c>
      <x:c r="F81" t="str">
        <x:v>Sim</x:v>
      </x:c>
      <x:c r="G81" t="str">
        <x:v>Sim</x:v>
      </x:c>
      <x:c r="H81" t="str">
        <x:v>Não</x:v>
      </x:c>
      <x:c r="I81" t="str">
        <x:v>Não</x:v>
      </x:c>
      <x:c r="J81" t="n">
        <x:v>0</x:v>
      </x:c>
    </x:row>
    <x:row r="82">
      <x:c r="A82" t="str">
        <x:v>LEAD-000081</x:v>
      </x:c>
      <x:c r="B82" t="str">
        <x:v>IMV-0028</x:v>
      </x:c>
      <x:c r="C82" s="36" t="n">
        <x:v>46101</x:v>
      </x:c>
      <x:c r="D82" t="str">
        <x:v>Instagram</x:v>
      </x:c>
      <x:c r="E82" t="str">
        <x:v>Corretor 01</x:v>
      </x:c>
      <x:c r="F82" t="str">
        <x:v>Sim</x:v>
      </x:c>
      <x:c r="G82" t="str">
        <x:v>Não</x:v>
      </x:c>
      <x:c r="H82" t="str">
        <x:v>Não</x:v>
      </x:c>
      <x:c r="I82" t="str">
        <x:v>Não</x:v>
      </x:c>
      <x:c r="J82" t="n">
        <x:v>2</x:v>
      </x:c>
    </x:row>
    <x:row r="83">
      <x:c r="A83" t="str">
        <x:v>LEAD-000082</x:v>
      </x:c>
      <x:c r="B83" t="str">
        <x:v>IMV-0028</x:v>
      </x:c>
      <x:c r="C83" s="36" t="n">
        <x:v>46167</x:v>
      </x:c>
      <x:c r="D83" t="str">
        <x:v>Site próprio</x:v>
      </x:c>
      <x:c r="E83" t="str">
        <x:v>Corretor 01</x:v>
      </x:c>
      <x:c r="F83" t="str">
        <x:v>Sim</x:v>
      </x:c>
      <x:c r="G83" t="str">
        <x:v>Sim</x:v>
      </x:c>
      <x:c r="H83" t="str">
        <x:v>Não</x:v>
      </x:c>
      <x:c r="I83" t="str">
        <x:v>Não</x:v>
      </x:c>
      <x:c r="J83" t="n">
        <x:v>2</x:v>
      </x:c>
    </x:row>
    <x:row r="84">
      <x:c r="A84" t="str">
        <x:v>LEAD-000083</x:v>
      </x:c>
      <x:c r="B84" t="str">
        <x:v>IMV-0028</x:v>
      </x:c>
      <x:c r="C84" s="36" t="n">
        <x:v>46185</x:v>
      </x:c>
      <x:c r="D84" t="str">
        <x:v>Portal A</x:v>
      </x:c>
      <x:c r="E84" t="str">
        <x:v>Corretor 05</x:v>
      </x:c>
      <x:c r="F84" t="str">
        <x:v>Sim</x:v>
      </x:c>
      <x:c r="G84" t="str">
        <x:v>Não</x:v>
      </x:c>
      <x:c r="H84" t="str">
        <x:v>Não</x:v>
      </x:c>
      <x:c r="I84" t="str">
        <x:v>Não</x:v>
      </x:c>
      <x:c r="J84" t="n">
        <x:v>1</x:v>
      </x:c>
    </x:row>
    <x:row r="85">
      <x:c r="A85" t="str">
        <x:v>LEAD-000084</x:v>
      </x:c>
      <x:c r="B85" t="str">
        <x:v>IMV-0028</x:v>
      </x:c>
      <x:c r="C85" s="36" t="n">
        <x:v>46130</x:v>
      </x:c>
      <x:c r="D85" t="str">
        <x:v>Site próprio</x:v>
      </x:c>
      <x:c r="E85" t="str">
        <x:v>Corretor 01</x:v>
      </x:c>
      <x:c r="F85" t="str">
        <x:v>Sim</x:v>
      </x:c>
      <x:c r="G85" t="str">
        <x:v>Não</x:v>
      </x:c>
      <x:c r="H85" t="str">
        <x:v>Não</x:v>
      </x:c>
      <x:c r="I85" t="str">
        <x:v>Não</x:v>
      </x:c>
      <x:c r="J85" t="n">
        <x:v>3</x:v>
      </x:c>
    </x:row>
    <x:row r="86">
      <x:c r="A86" t="str">
        <x:v>LEAD-000085</x:v>
      </x:c>
      <x:c r="B86" t="str">
        <x:v>IMV-0028</x:v>
      </x:c>
      <x:c r="C86" s="36" t="n">
        <x:v>46122</x:v>
      </x:c>
      <x:c r="D86" t="str">
        <x:v>Site próprio</x:v>
      </x:c>
      <x:c r="E86" t="str">
        <x:v>Corretor 02</x:v>
      </x:c>
      <x:c r="F86" t="str">
        <x:v>Sim</x:v>
      </x:c>
      <x:c r="G86" t="str">
        <x:v>Não</x:v>
      </x:c>
      <x:c r="H86" t="str">
        <x:v>Não</x:v>
      </x:c>
      <x:c r="I86" t="str">
        <x:v>Não</x:v>
      </x:c>
      <x:c r="J86" t="n">
        <x:v>1</x:v>
      </x:c>
    </x:row>
    <x:row r="87">
      <x:c r="A87" t="str">
        <x:v>LEAD-000086</x:v>
      </x:c>
      <x:c r="B87" t="str">
        <x:v>IMV-0029</x:v>
      </x:c>
      <x:c r="C87" s="36" t="n">
        <x:v>46171</x:v>
      </x:c>
      <x:c r="D87" t="str">
        <x:v>Portal B</x:v>
      </x:c>
      <x:c r="E87" t="str">
        <x:v>Corretor 08</x:v>
      </x:c>
      <x:c r="F87" t="str">
        <x:v>Sim</x:v>
      </x:c>
      <x:c r="G87" t="str">
        <x:v>Não</x:v>
      </x:c>
      <x:c r="H87" t="str">
        <x:v>Não</x:v>
      </x:c>
      <x:c r="I87" t="str">
        <x:v>Não</x:v>
      </x:c>
      <x:c r="J87" t="n">
        <x:v>3</x:v>
      </x:c>
    </x:row>
    <x:row r="88">
      <x:c r="A88" t="str">
        <x:v>LEAD-000087</x:v>
      </x:c>
      <x:c r="B88" t="str">
        <x:v>IMV-0029</x:v>
      </x:c>
      <x:c r="C88" s="36" t="n">
        <x:v>46097</x:v>
      </x:c>
      <x:c r="D88" t="str">
        <x:v>Instagram</x:v>
      </x:c>
      <x:c r="E88" t="str">
        <x:v>Corretor 04</x:v>
      </x:c>
      <x:c r="F88" t="str">
        <x:v>Sim</x:v>
      </x:c>
      <x:c r="G88" t="str">
        <x:v>Não</x:v>
      </x:c>
      <x:c r="H88" t="str">
        <x:v>Não</x:v>
      </x:c>
      <x:c r="I88" t="str">
        <x:v>Não</x:v>
      </x:c>
      <x:c r="J88" t="n">
        <x:v>3</x:v>
      </x:c>
    </x:row>
    <x:row r="89">
      <x:c r="A89" t="str">
        <x:v>LEAD-000088</x:v>
      </x:c>
      <x:c r="B89" t="str">
        <x:v>IMV-0030</x:v>
      </x:c>
      <x:c r="C89" s="36" t="n">
        <x:v>46059</x:v>
      </x:c>
      <x:c r="D89" t="str">
        <x:v>Indicação</x:v>
      </x:c>
      <x:c r="E89" t="str">
        <x:v>Corretor 03</x:v>
      </x:c>
      <x:c r="F89" t="str">
        <x:v>Sim</x:v>
      </x:c>
      <x:c r="G89" t="str">
        <x:v>Não</x:v>
      </x:c>
      <x:c r="H89" t="str">
        <x:v>Não</x:v>
      </x:c>
      <x:c r="I89" t="str">
        <x:v>Não</x:v>
      </x:c>
      <x:c r="J89" t="n">
        <x:v>3</x:v>
      </x:c>
    </x:row>
    <x:row r="90">
      <x:c r="A90" t="str">
        <x:v>LEAD-000089</x:v>
      </x:c>
      <x:c r="B90" t="str">
        <x:v>IMV-0031</x:v>
      </x:c>
      <x:c r="C90" s="36" t="n">
        <x:v>46219</x:v>
      </x:c>
      <x:c r="D90" t="str">
        <x:v>Indicação</x:v>
      </x:c>
      <x:c r="E90" t="str">
        <x:v>Corretor 01</x:v>
      </x:c>
      <x:c r="F90" t="str">
        <x:v>Sim</x:v>
      </x:c>
      <x:c r="G90" t="str">
        <x:v>Não</x:v>
      </x:c>
      <x:c r="H90" t="str">
        <x:v>Não</x:v>
      </x:c>
      <x:c r="I90" t="str">
        <x:v>Não</x:v>
      </x:c>
      <x:c r="J90" t="n">
        <x:v>0</x:v>
      </x:c>
    </x:row>
    <x:row r="91">
      <x:c r="A91" t="str">
        <x:v>LEAD-000090</x:v>
      </x:c>
      <x:c r="B91" t="str">
        <x:v>IMV-0031</x:v>
      </x:c>
      <x:c r="C91" s="36" t="n">
        <x:v>46133</x:v>
      </x:c>
      <x:c r="D91" t="str">
        <x:v>Indicação</x:v>
      </x:c>
      <x:c r="E91" t="str">
        <x:v>Corretor 02</x:v>
      </x:c>
      <x:c r="F91" t="str">
        <x:v>Sim</x:v>
      </x:c>
      <x:c r="G91" t="str">
        <x:v>Não</x:v>
      </x:c>
      <x:c r="H91" t="str">
        <x:v>Não</x:v>
      </x:c>
      <x:c r="I91" t="str">
        <x:v>Não</x:v>
      </x:c>
      <x:c r="J91" t="n">
        <x:v>0</x:v>
      </x:c>
    </x:row>
    <x:row r="92">
      <x:c r="A92" t="str">
        <x:v>LEAD-000091</x:v>
      </x:c>
      <x:c r="B92" t="str">
        <x:v>IMV-0031</x:v>
      </x:c>
      <x:c r="C92" s="36" t="n">
        <x:v>46235</x:v>
      </x:c>
      <x:c r="D92" t="str">
        <x:v>Indicação</x:v>
      </x:c>
      <x:c r="E92" t="str">
        <x:v>Corretor 04</x:v>
      </x:c>
      <x:c r="F92" t="str">
        <x:v>Sim</x:v>
      </x:c>
      <x:c r="G92" t="str">
        <x:v>Sim</x:v>
      </x:c>
      <x:c r="H92" t="str">
        <x:v>Não</x:v>
      </x:c>
      <x:c r="I92" t="str">
        <x:v>Não</x:v>
      </x:c>
      <x:c r="J92" t="n">
        <x:v>3</x:v>
      </x:c>
    </x:row>
    <x:row r="93">
      <x:c r="A93" t="str">
        <x:v>LEAD-000092</x:v>
      </x:c>
      <x:c r="B93" t="str">
        <x:v>IMV-0031</x:v>
      </x:c>
      <x:c r="C93" s="36" t="n">
        <x:v>46124</x:v>
      </x:c>
      <x:c r="D93" t="str">
        <x:v>Portal A</x:v>
      </x:c>
      <x:c r="E93" t="str">
        <x:v>Corretor 03</x:v>
      </x:c>
      <x:c r="F93" t="str">
        <x:v>Sim</x:v>
      </x:c>
      <x:c r="G93" t="str">
        <x:v>Não</x:v>
      </x:c>
      <x:c r="H93" t="str">
        <x:v>Não</x:v>
      </x:c>
      <x:c r="I93" t="str">
        <x:v>Não</x:v>
      </x:c>
      <x:c r="J93" t="n">
        <x:v>3</x:v>
      </x:c>
    </x:row>
    <x:row r="94">
      <x:c r="A94" t="str">
        <x:v>LEAD-000093</x:v>
      </x:c>
      <x:c r="B94" t="str">
        <x:v>IMV-0032</x:v>
      </x:c>
      <x:c r="C94" s="36" t="n">
        <x:v>46093</x:v>
      </x:c>
      <x:c r="D94" t="str">
        <x:v>Site próprio</x:v>
      </x:c>
      <x:c r="E94" t="str">
        <x:v>Corretor 01</x:v>
      </x:c>
      <x:c r="F94" t="str">
        <x:v>Sim</x:v>
      </x:c>
      <x:c r="G94" t="str">
        <x:v>Não</x:v>
      </x:c>
      <x:c r="H94" t="str">
        <x:v>Não</x:v>
      </x:c>
      <x:c r="I94" t="str">
        <x:v>Não</x:v>
      </x:c>
      <x:c r="J94" t="n">
        <x:v>3</x:v>
      </x:c>
    </x:row>
    <x:row r="95">
      <x:c r="A95" t="str">
        <x:v>LEAD-000094</x:v>
      </x:c>
      <x:c r="B95" t="str">
        <x:v>IMV-0032</x:v>
      </x:c>
      <x:c r="C95" s="36" t="n">
        <x:v>46067</x:v>
      </x:c>
      <x:c r="D95" t="str">
        <x:v>Instagram</x:v>
      </x:c>
      <x:c r="E95" t="str">
        <x:v>Corretor 07</x:v>
      </x:c>
      <x:c r="F95" t="str">
        <x:v>Sim</x:v>
      </x:c>
      <x:c r="G95" t="str">
        <x:v>Sim</x:v>
      </x:c>
      <x:c r="H95" t="str">
        <x:v>Não</x:v>
      </x:c>
      <x:c r="I95" t="str">
        <x:v>Não</x:v>
      </x:c>
      <x:c r="J95" t="n">
        <x:v>1</x:v>
      </x:c>
    </x:row>
    <x:row r="96">
      <x:c r="A96" t="str">
        <x:v>LEAD-000095</x:v>
      </x:c>
      <x:c r="B96" t="str">
        <x:v>IMV-0034</x:v>
      </x:c>
      <x:c r="C96" s="36" t="n">
        <x:v>46216</x:v>
      </x:c>
      <x:c r="D96" t="str">
        <x:v>Portal B</x:v>
      </x:c>
      <x:c r="E96" t="str">
        <x:v>Corretor 06</x:v>
      </x:c>
      <x:c r="F96" t="str">
        <x:v>Sim</x:v>
      </x:c>
      <x:c r="G96" t="str">
        <x:v>Não</x:v>
      </x:c>
      <x:c r="H96" t="str">
        <x:v>Não</x:v>
      </x:c>
      <x:c r="I96" t="str">
        <x:v>Não</x:v>
      </x:c>
      <x:c r="J96" t="n">
        <x:v>2</x:v>
      </x:c>
    </x:row>
    <x:row r="97">
      <x:c r="A97" t="str">
        <x:v>LEAD-000096</x:v>
      </x:c>
      <x:c r="B97" t="str">
        <x:v>IMV-0034</x:v>
      </x:c>
      <x:c r="C97" s="36" t="n">
        <x:v>46119</x:v>
      </x:c>
      <x:c r="D97" t="str">
        <x:v>Site próprio</x:v>
      </x:c>
      <x:c r="E97" t="str">
        <x:v>Corretor 08</x:v>
      </x:c>
      <x:c r="F97" t="str">
        <x:v>Sim</x:v>
      </x:c>
      <x:c r="G97" t="str">
        <x:v>Não</x:v>
      </x:c>
      <x:c r="H97" t="str">
        <x:v>Não</x:v>
      </x:c>
      <x:c r="I97" t="str">
        <x:v>Não</x:v>
      </x:c>
      <x:c r="J97" t="n">
        <x:v>2</x:v>
      </x:c>
    </x:row>
    <x:row r="98">
      <x:c r="A98" t="str">
        <x:v>LEAD-000097</x:v>
      </x:c>
      <x:c r="B98" t="str">
        <x:v>IMV-0035</x:v>
      </x:c>
      <x:c r="C98" s="36" t="n">
        <x:v>46148</x:v>
      </x:c>
      <x:c r="D98" t="str">
        <x:v>Instagram</x:v>
      </x:c>
      <x:c r="E98" t="str">
        <x:v>Corretor 07</x:v>
      </x:c>
      <x:c r="F98" t="str">
        <x:v>Sim</x:v>
      </x:c>
      <x:c r="G98" t="str">
        <x:v>Não</x:v>
      </x:c>
      <x:c r="H98" t="str">
        <x:v>Não</x:v>
      </x:c>
      <x:c r="I98" t="str">
        <x:v>Não</x:v>
      </x:c>
      <x:c r="J98" t="n">
        <x:v>2</x:v>
      </x:c>
    </x:row>
    <x:row r="99">
      <x:c r="A99" t="str">
        <x:v>LEAD-000098</x:v>
      </x:c>
      <x:c r="B99" t="str">
        <x:v>IMV-0035</x:v>
      </x:c>
      <x:c r="C99" s="36" t="n">
        <x:v>46177</x:v>
      </x:c>
      <x:c r="D99" t="str">
        <x:v>Site próprio</x:v>
      </x:c>
      <x:c r="E99" t="str">
        <x:v>Corretor 02</x:v>
      </x:c>
      <x:c r="F99" t="str">
        <x:v>Sim</x:v>
      </x:c>
      <x:c r="G99" t="str">
        <x:v>Não</x:v>
      </x:c>
      <x:c r="H99" t="str">
        <x:v>Não</x:v>
      </x:c>
      <x:c r="I99" t="str">
        <x:v>Não</x:v>
      </x:c>
      <x:c r="J99" t="n">
        <x:v>1</x:v>
      </x:c>
    </x:row>
    <x:row r="100">
      <x:c r="A100" t="str">
        <x:v>LEAD-000099</x:v>
      </x:c>
      <x:c r="B100" t="str">
        <x:v>IMV-0035</x:v>
      </x:c>
      <x:c r="C100" s="36" t="n">
        <x:v>46160</x:v>
      </x:c>
      <x:c r="D100" t="str">
        <x:v>Portal A</x:v>
      </x:c>
      <x:c r="E100" t="str">
        <x:v>Corretor 04</x:v>
      </x:c>
      <x:c r="F100" t="str">
        <x:v>Sim</x:v>
      </x:c>
      <x:c r="G100" t="str">
        <x:v>Não</x:v>
      </x:c>
      <x:c r="H100" t="str">
        <x:v>Não</x:v>
      </x:c>
      <x:c r="I100" t="str">
        <x:v>Não</x:v>
      </x:c>
      <x:c r="J100" t="n">
        <x:v>3</x:v>
      </x:c>
    </x:row>
    <x:row r="101">
      <x:c r="A101" t="str">
        <x:v>LEAD-000100</x:v>
      </x:c>
      <x:c r="B101" t="str">
        <x:v>IMV-0035</x:v>
      </x:c>
      <x:c r="C101" s="36" t="n">
        <x:v>46079</x:v>
      </x:c>
      <x:c r="D101" t="str">
        <x:v>Site próprio</x:v>
      </x:c>
      <x:c r="E101" t="str">
        <x:v>Corretor 06</x:v>
      </x:c>
      <x:c r="F101" t="str">
        <x:v>Sim</x:v>
      </x:c>
      <x:c r="G101" t="str">
        <x:v>Não</x:v>
      </x:c>
      <x:c r="H101" t="str">
        <x:v>Não</x:v>
      </x:c>
      <x:c r="I101" t="str">
        <x:v>Não</x:v>
      </x:c>
      <x:c r="J101" t="n">
        <x:v>2</x:v>
      </x:c>
    </x:row>
    <x:row r="102">
      <x:c r="A102" t="str">
        <x:v>LEAD-000101</x:v>
      </x:c>
      <x:c r="B102" t="str">
        <x:v>IMV-0035</x:v>
      </x:c>
      <x:c r="C102" s="36" t="n">
        <x:v>46218</x:v>
      </x:c>
      <x:c r="D102" t="str">
        <x:v>Instagram</x:v>
      </x:c>
      <x:c r="E102" t="str">
        <x:v>Corretor 02</x:v>
      </x:c>
      <x:c r="F102" t="str">
        <x:v>Sim</x:v>
      </x:c>
      <x:c r="G102" t="str">
        <x:v>Sim</x:v>
      </x:c>
      <x:c r="H102" t="str">
        <x:v>Não</x:v>
      </x:c>
      <x:c r="I102" t="str">
        <x:v>Não</x:v>
      </x:c>
      <x:c r="J102" t="n">
        <x:v>3</x:v>
      </x:c>
    </x:row>
    <x:row r="103">
      <x:c r="A103" t="str">
        <x:v>LEAD-000102</x:v>
      </x:c>
      <x:c r="B103" t="str">
        <x:v>IMV-0036</x:v>
      </x:c>
      <x:c r="C103" s="36" t="n">
        <x:v>46173</x:v>
      </x:c>
      <x:c r="D103" t="str">
        <x:v>Portal A</x:v>
      </x:c>
      <x:c r="E103" t="str">
        <x:v>Corretor 03</x:v>
      </x:c>
      <x:c r="F103" t="str">
        <x:v>Não</x:v>
      </x:c>
      <x:c r="G103" t="str">
        <x:v>Não</x:v>
      </x:c>
      <x:c r="H103" t="str">
        <x:v>Não</x:v>
      </x:c>
      <x:c r="I103" t="str">
        <x:v>Não</x:v>
      </x:c>
      <x:c r="J103" t="n">
        <x:v>14</x:v>
      </x:c>
    </x:row>
    <x:row r="104">
      <x:c r="A104" t="str">
        <x:v>LEAD-000103</x:v>
      </x:c>
      <x:c r="B104" t="str">
        <x:v>IMV-0036</x:v>
      </x:c>
      <x:c r="C104" s="36" t="n">
        <x:v>46106</x:v>
      </x:c>
      <x:c r="D104" t="str">
        <x:v>Instagram</x:v>
      </x:c>
      <x:c r="E104" t="str">
        <x:v>Corretor 07</x:v>
      </x:c>
      <x:c r="F104" t="str">
        <x:v>Não</x:v>
      </x:c>
      <x:c r="G104" t="str">
        <x:v>Não</x:v>
      </x:c>
      <x:c r="H104" t="str">
        <x:v>Não</x:v>
      </x:c>
      <x:c r="I104" t="str">
        <x:v>Não</x:v>
      </x:c>
      <x:c r="J104" t="n">
        <x:v>13</x:v>
      </x:c>
    </x:row>
    <x:row r="105">
      <x:c r="A105" t="str">
        <x:v>LEAD-000104</x:v>
      </x:c>
      <x:c r="B105" t="str">
        <x:v>IMV-0036</x:v>
      </x:c>
      <x:c r="C105" s="36" t="n">
        <x:v>46202</x:v>
      </x:c>
      <x:c r="D105" t="str">
        <x:v>Portal B</x:v>
      </x:c>
      <x:c r="E105" t="str">
        <x:v>Corretor 06</x:v>
      </x:c>
      <x:c r="F105" t="str">
        <x:v>Sim</x:v>
      </x:c>
      <x:c r="G105" t="str">
        <x:v>Não</x:v>
      </x:c>
      <x:c r="H105" t="str">
        <x:v>Não</x:v>
      </x:c>
      <x:c r="I105" t="str">
        <x:v>Não</x:v>
      </x:c>
      <x:c r="J105" t="n">
        <x:v>1</x:v>
      </x:c>
    </x:row>
    <x:row r="106">
      <x:c r="A106" t="str">
        <x:v>LEAD-000105</x:v>
      </x:c>
      <x:c r="B106" t="str">
        <x:v>IMV-0036</x:v>
      </x:c>
      <x:c r="C106" s="36" t="n">
        <x:v>46153</x:v>
      </x:c>
      <x:c r="D106" t="str">
        <x:v>Site próprio</x:v>
      </x:c>
      <x:c r="E106" t="str">
        <x:v>Corretor 03</x:v>
      </x:c>
      <x:c r="F106" t="str">
        <x:v>Sim</x:v>
      </x:c>
      <x:c r="G106" t="str">
        <x:v>Não</x:v>
      </x:c>
      <x:c r="H106" t="str">
        <x:v>Não</x:v>
      </x:c>
      <x:c r="I106" t="str">
        <x:v>Não</x:v>
      </x:c>
      <x:c r="J106" t="n">
        <x:v>1</x:v>
      </x:c>
    </x:row>
    <x:row r="107">
      <x:c r="A107" t="str">
        <x:v>LEAD-000106</x:v>
      </x:c>
      <x:c r="B107" t="str">
        <x:v>IMV-0036</x:v>
      </x:c>
      <x:c r="C107" s="36" t="n">
        <x:v>46105</x:v>
      </x:c>
      <x:c r="D107" t="str">
        <x:v>Portal B</x:v>
      </x:c>
      <x:c r="E107" t="str">
        <x:v>Corretor 04</x:v>
      </x:c>
      <x:c r="F107" t="str">
        <x:v>Não</x:v>
      </x:c>
      <x:c r="G107" t="str">
        <x:v>Não</x:v>
      </x:c>
      <x:c r="H107" t="str">
        <x:v>Não</x:v>
      </x:c>
      <x:c r="I107" t="str">
        <x:v>Não</x:v>
      </x:c>
      <x:c r="J107" t="n">
        <x:v>5</x:v>
      </x:c>
    </x:row>
    <x:row r="108">
      <x:c r="A108" t="str">
        <x:v>LEAD-000107</x:v>
      </x:c>
      <x:c r="B108" t="str">
        <x:v>IMV-0037</x:v>
      </x:c>
      <x:c r="C108" s="36" t="n">
        <x:v>46126</x:v>
      </x:c>
      <x:c r="D108" t="str">
        <x:v>Indicação</x:v>
      </x:c>
      <x:c r="E108" t="str">
        <x:v>Corretor 04</x:v>
      </x:c>
      <x:c r="F108" t="str">
        <x:v>Não</x:v>
      </x:c>
      <x:c r="G108" t="str">
        <x:v>Não</x:v>
      </x:c>
      <x:c r="H108" t="str">
        <x:v>Não</x:v>
      </x:c>
      <x:c r="I108" t="str">
        <x:v>Não</x:v>
      </x:c>
      <x:c r="J108" t="n">
        <x:v>15</x:v>
      </x:c>
    </x:row>
    <x:row r="109">
      <x:c r="A109" t="str">
        <x:v>LEAD-000108</x:v>
      </x:c>
      <x:c r="B109" t="str">
        <x:v>IMV-0037</x:v>
      </x:c>
      <x:c r="C109" s="36" t="n">
        <x:v>46227</x:v>
      </x:c>
      <x:c r="D109" t="str">
        <x:v>Indicação</x:v>
      </x:c>
      <x:c r="E109" t="str">
        <x:v>Corretor 03</x:v>
      </x:c>
      <x:c r="F109" t="str">
        <x:v>Sim</x:v>
      </x:c>
      <x:c r="G109" t="str">
        <x:v>Sim</x:v>
      </x:c>
      <x:c r="H109" t="str">
        <x:v>Não</x:v>
      </x:c>
      <x:c r="I109" t="str">
        <x:v>Não</x:v>
      </x:c>
      <x:c r="J109" t="n">
        <x:v>3</x:v>
      </x:c>
    </x:row>
    <x:row r="110">
      <x:c r="A110" t="str">
        <x:v>LEAD-000109</x:v>
      </x:c>
      <x:c r="B110" t="str">
        <x:v>IMV-0037</x:v>
      </x:c>
      <x:c r="C110" s="36" t="n">
        <x:v>46148</x:v>
      </x:c>
      <x:c r="D110" t="str">
        <x:v>Portal B</x:v>
      </x:c>
      <x:c r="E110" t="str">
        <x:v>Corretor 05</x:v>
      </x:c>
      <x:c r="F110" t="str">
        <x:v>Não</x:v>
      </x:c>
      <x:c r="G110" t="str">
        <x:v>Não</x:v>
      </x:c>
      <x:c r="H110" t="str">
        <x:v>Não</x:v>
      </x:c>
      <x:c r="I110" t="str">
        <x:v>Não</x:v>
      </x:c>
      <x:c r="J110" t="n">
        <x:v>14</x:v>
      </x:c>
    </x:row>
    <x:row r="111">
      <x:c r="A111" t="str">
        <x:v>LEAD-000110</x:v>
      </x:c>
      <x:c r="B111" t="str">
        <x:v>IMV-0037</x:v>
      </x:c>
      <x:c r="C111" s="36" t="n">
        <x:v>46090</x:v>
      </x:c>
      <x:c r="D111" t="str">
        <x:v>Instagram</x:v>
      </x:c>
      <x:c r="E111" t="str">
        <x:v>Corretor 05</x:v>
      </x:c>
      <x:c r="F111" t="str">
        <x:v>Sim</x:v>
      </x:c>
      <x:c r="G111" t="str">
        <x:v>Não</x:v>
      </x:c>
      <x:c r="H111" t="str">
        <x:v>Não</x:v>
      </x:c>
      <x:c r="I111" t="str">
        <x:v>Não</x:v>
      </x:c>
      <x:c r="J111" t="n">
        <x:v>2</x:v>
      </x:c>
    </x:row>
    <x:row r="112">
      <x:c r="A112" t="str">
        <x:v>LEAD-000111</x:v>
      </x:c>
      <x:c r="B112" t="str">
        <x:v>IMV-0038</x:v>
      </x:c>
      <x:c r="C112" s="36" t="n">
        <x:v>46105</x:v>
      </x:c>
      <x:c r="D112" t="str">
        <x:v>Indicação</x:v>
      </x:c>
      <x:c r="E112" t="str">
        <x:v>Corretor 08</x:v>
      </x:c>
      <x:c r="F112" t="str">
        <x:v>Sim</x:v>
      </x:c>
      <x:c r="G112" t="str">
        <x:v>Não</x:v>
      </x:c>
      <x:c r="H112" t="str">
        <x:v>Não</x:v>
      </x:c>
      <x:c r="I112" t="str">
        <x:v>Não</x:v>
      </x:c>
      <x:c r="J112" t="n">
        <x:v>1</x:v>
      </x:c>
    </x:row>
    <x:row r="113">
      <x:c r="A113" t="str">
        <x:v>LEAD-000112</x:v>
      </x:c>
      <x:c r="B113" t="str">
        <x:v>IMV-0038</x:v>
      </x:c>
      <x:c r="C113" s="36" t="n">
        <x:v>46086</x:v>
      </x:c>
      <x:c r="D113" t="str">
        <x:v>Portal B</x:v>
      </x:c>
      <x:c r="E113" t="str">
        <x:v>Corretor 05</x:v>
      </x:c>
      <x:c r="F113" t="str">
        <x:v>Sim</x:v>
      </x:c>
      <x:c r="G113" t="str">
        <x:v>Não</x:v>
      </x:c>
      <x:c r="H113" t="str">
        <x:v>Não</x:v>
      </x:c>
      <x:c r="I113" t="str">
        <x:v>Não</x:v>
      </x:c>
      <x:c r="J113" t="n">
        <x:v>0</x:v>
      </x:c>
    </x:row>
    <x:row r="114">
      <x:c r="A114" t="str">
        <x:v>LEAD-000113</x:v>
      </x:c>
      <x:c r="B114" t="str">
        <x:v>IMV-0039</x:v>
      </x:c>
      <x:c r="C114" s="36" t="n">
        <x:v>46063</x:v>
      </x:c>
      <x:c r="D114" t="str">
        <x:v>Portal B</x:v>
      </x:c>
      <x:c r="E114" t="str">
        <x:v>Corretor 03</x:v>
      </x:c>
      <x:c r="F114" t="str">
        <x:v>Sim</x:v>
      </x:c>
      <x:c r="G114" t="str">
        <x:v>Não</x:v>
      </x:c>
      <x:c r="H114" t="str">
        <x:v>Não</x:v>
      </x:c>
      <x:c r="I114" t="str">
        <x:v>Não</x:v>
      </x:c>
      <x:c r="J114" t="n">
        <x:v>0</x:v>
      </x:c>
    </x:row>
    <x:row r="115">
      <x:c r="A115" t="str">
        <x:v>LEAD-000114</x:v>
      </x:c>
      <x:c r="B115" t="str">
        <x:v>IMV-0040</x:v>
      </x:c>
      <x:c r="C115" s="36" t="n">
        <x:v>46062</x:v>
      </x:c>
      <x:c r="D115" t="str">
        <x:v>Portal B</x:v>
      </x:c>
      <x:c r="E115" t="str">
        <x:v>Corretor 08</x:v>
      </x:c>
      <x:c r="F115" t="str">
        <x:v>Sim</x:v>
      </x:c>
      <x:c r="G115" t="str">
        <x:v>Não</x:v>
      </x:c>
      <x:c r="H115" t="str">
        <x:v>Não</x:v>
      </x:c>
      <x:c r="I115" t="str">
        <x:v>Não</x:v>
      </x:c>
      <x:c r="J115" t="n">
        <x:v>2</x:v>
      </x:c>
    </x:row>
    <x:row r="116">
      <x:c r="A116" t="str">
        <x:v>LEAD-000115</x:v>
      </x:c>
      <x:c r="B116" t="str">
        <x:v>IMV-0042</x:v>
      </x:c>
      <x:c r="C116" s="36" t="n">
        <x:v>46199</x:v>
      </x:c>
      <x:c r="D116" t="str">
        <x:v>Instagram</x:v>
      </x:c>
      <x:c r="E116" t="str">
        <x:v>Corretor 04</x:v>
      </x:c>
      <x:c r="F116" t="str">
        <x:v>Sim</x:v>
      </x:c>
      <x:c r="G116" t="str">
        <x:v>Sim</x:v>
      </x:c>
      <x:c r="H116" t="str">
        <x:v>Não</x:v>
      </x:c>
      <x:c r="I116" t="str">
        <x:v>Não</x:v>
      </x:c>
      <x:c r="J116" t="n">
        <x:v>1</x:v>
      </x:c>
    </x:row>
    <x:row r="117">
      <x:c r="A117" t="str">
        <x:v>LEAD-000116</x:v>
      </x:c>
      <x:c r="B117" t="str">
        <x:v>IMV-0042</x:v>
      </x:c>
      <x:c r="C117" s="36" t="n">
        <x:v>46128</x:v>
      </x:c>
      <x:c r="D117" t="str">
        <x:v>Portal B</x:v>
      </x:c>
      <x:c r="E117" t="str">
        <x:v>Corretor 02</x:v>
      </x:c>
      <x:c r="F117" t="str">
        <x:v>Sim</x:v>
      </x:c>
      <x:c r="G117" t="str">
        <x:v>Não</x:v>
      </x:c>
      <x:c r="H117" t="str">
        <x:v>Não</x:v>
      </x:c>
      <x:c r="I117" t="str">
        <x:v>Não</x:v>
      </x:c>
      <x:c r="J117" t="n">
        <x:v>0</x:v>
      </x:c>
    </x:row>
    <x:row r="118">
      <x:c r="A118" t="str">
        <x:v>LEAD-000117</x:v>
      </x:c>
      <x:c r="B118" t="str">
        <x:v>IMV-0042</x:v>
      </x:c>
      <x:c r="C118" s="36" t="n">
        <x:v>46178</x:v>
      </x:c>
      <x:c r="D118" t="str">
        <x:v>Instagram</x:v>
      </x:c>
      <x:c r="E118" t="str">
        <x:v>Corretor 06</x:v>
      </x:c>
      <x:c r="F118" t="str">
        <x:v>Sim</x:v>
      </x:c>
      <x:c r="G118" t="str">
        <x:v>Sim</x:v>
      </x:c>
      <x:c r="H118" t="str">
        <x:v>Não</x:v>
      </x:c>
      <x:c r="I118" t="str">
        <x:v>Não</x:v>
      </x:c>
      <x:c r="J118" t="n">
        <x:v>0</x:v>
      </x:c>
    </x:row>
    <x:row r="119">
      <x:c r="A119" t="str">
        <x:v>LEAD-000118</x:v>
      </x:c>
      <x:c r="B119" t="str">
        <x:v>IMV-0042</x:v>
      </x:c>
      <x:c r="C119" s="36" t="n">
        <x:v>46064</x:v>
      </x:c>
      <x:c r="D119" t="str">
        <x:v>Instagram</x:v>
      </x:c>
      <x:c r="E119" t="str">
        <x:v>Corretor 07</x:v>
      </x:c>
      <x:c r="F119" t="str">
        <x:v>Sim</x:v>
      </x:c>
      <x:c r="G119" t="str">
        <x:v>Sim</x:v>
      </x:c>
      <x:c r="H119" t="str">
        <x:v>Sim</x:v>
      </x:c>
      <x:c r="I119" t="str">
        <x:v>Não</x:v>
      </x:c>
      <x:c r="J119" t="n">
        <x:v>4</x:v>
      </x:c>
    </x:row>
    <x:row r="120">
      <x:c r="A120" t="str">
        <x:v>LEAD-000119</x:v>
      </x:c>
      <x:c r="B120" t="str">
        <x:v>IMV-0042</x:v>
      </x:c>
      <x:c r="C120" s="36" t="n">
        <x:v>46190</x:v>
      </x:c>
      <x:c r="D120" t="str">
        <x:v>Indicação</x:v>
      </x:c>
      <x:c r="E120" t="str">
        <x:v>Corretor 08</x:v>
      </x:c>
      <x:c r="F120" t="str">
        <x:v>Não</x:v>
      </x:c>
      <x:c r="G120" t="str">
        <x:v>Não</x:v>
      </x:c>
      <x:c r="H120" t="str">
        <x:v>Não</x:v>
      </x:c>
      <x:c r="I120" t="str">
        <x:v>Não</x:v>
      </x:c>
      <x:c r="J120" t="n">
        <x:v>14</x:v>
      </x:c>
    </x:row>
    <x:row r="121">
      <x:c r="A121" t="str">
        <x:v>LEAD-000120</x:v>
      </x:c>
      <x:c r="B121" t="str">
        <x:v>IMV-0042</x:v>
      </x:c>
      <x:c r="C121" s="36" t="n">
        <x:v>46118</x:v>
      </x:c>
      <x:c r="D121" t="str">
        <x:v>Indicação</x:v>
      </x:c>
      <x:c r="E121" t="str">
        <x:v>Corretor 01</x:v>
      </x:c>
      <x:c r="F121" t="str">
        <x:v>Não</x:v>
      </x:c>
      <x:c r="G121" t="str">
        <x:v>Não</x:v>
      </x:c>
      <x:c r="H121" t="str">
        <x:v>Não</x:v>
      </x:c>
      <x:c r="I121" t="str">
        <x:v>Não</x:v>
      </x:c>
      <x:c r="J121" t="n">
        <x:v>10</x:v>
      </x:c>
    </x:row>
    <x:row r="122">
      <x:c r="A122" t="str">
        <x:v>LEAD-000121</x:v>
      </x:c>
      <x:c r="B122" t="str">
        <x:v>IMV-0042</x:v>
      </x:c>
      <x:c r="C122" s="36" t="n">
        <x:v>46133</x:v>
      </x:c>
      <x:c r="D122" t="str">
        <x:v>Portal B</x:v>
      </x:c>
      <x:c r="E122" t="str">
        <x:v>Corretor 04</x:v>
      </x:c>
      <x:c r="F122" t="str">
        <x:v>Sim</x:v>
      </x:c>
      <x:c r="G122" t="str">
        <x:v>Sim</x:v>
      </x:c>
      <x:c r="H122" t="str">
        <x:v>Não</x:v>
      </x:c>
      <x:c r="I122" t="str">
        <x:v>Não</x:v>
      </x:c>
      <x:c r="J122" t="n">
        <x:v>4</x:v>
      </x:c>
    </x:row>
    <x:row r="123">
      <x:c r="A123" t="str">
        <x:v>LEAD-000122</x:v>
      </x:c>
      <x:c r="B123" t="str">
        <x:v>IMV-0042</x:v>
      </x:c>
      <x:c r="C123" s="36" t="n">
        <x:v>46231</x:v>
      </x:c>
      <x:c r="D123" t="str">
        <x:v>Site próprio</x:v>
      </x:c>
      <x:c r="E123" t="str">
        <x:v>Corretor 05</x:v>
      </x:c>
      <x:c r="F123" t="str">
        <x:v>Não</x:v>
      </x:c>
      <x:c r="G123" t="str">
        <x:v>Não</x:v>
      </x:c>
      <x:c r="H123" t="str">
        <x:v>Não</x:v>
      </x:c>
      <x:c r="I123" t="str">
        <x:v>Não</x:v>
      </x:c>
      <x:c r="J123" t="n">
        <x:v>15</x:v>
      </x:c>
    </x:row>
    <x:row r="124">
      <x:c r="A124" t="str">
        <x:v>LEAD-000123</x:v>
      </x:c>
      <x:c r="B124" t="str">
        <x:v>IMV-0042</x:v>
      </x:c>
      <x:c r="C124" s="36" t="n">
        <x:v>46216</x:v>
      </x:c>
      <x:c r="D124" t="str">
        <x:v>Portal A</x:v>
      </x:c>
      <x:c r="E124" t="str">
        <x:v>Corretor 07</x:v>
      </x:c>
      <x:c r="F124" t="str">
        <x:v>Sim</x:v>
      </x:c>
      <x:c r="G124" t="str">
        <x:v>Não</x:v>
      </x:c>
      <x:c r="H124" t="str">
        <x:v>Não</x:v>
      </x:c>
      <x:c r="I124" t="str">
        <x:v>Não</x:v>
      </x:c>
      <x:c r="J124" t="n">
        <x:v>2</x:v>
      </x:c>
    </x:row>
    <x:row r="125">
      <x:c r="A125" t="str">
        <x:v>LEAD-000124</x:v>
      </x:c>
      <x:c r="B125" t="str">
        <x:v>IMV-0042</x:v>
      </x:c>
      <x:c r="C125" s="36" t="n">
        <x:v>46061</x:v>
      </x:c>
      <x:c r="D125" t="str">
        <x:v>Instagram</x:v>
      </x:c>
      <x:c r="E125" t="str">
        <x:v>Corretor 06</x:v>
      </x:c>
      <x:c r="F125" t="str">
        <x:v>Sim</x:v>
      </x:c>
      <x:c r="G125" t="str">
        <x:v>Não</x:v>
      </x:c>
      <x:c r="H125" t="str">
        <x:v>Não</x:v>
      </x:c>
      <x:c r="I125" t="str">
        <x:v>Não</x:v>
      </x:c>
      <x:c r="J125" t="n">
        <x:v>4</x:v>
      </x:c>
    </x:row>
    <x:row r="126">
      <x:c r="A126" t="str">
        <x:v>LEAD-000125</x:v>
      </x:c>
      <x:c r="B126" t="str">
        <x:v>IMV-0042</x:v>
      </x:c>
      <x:c r="C126" s="36" t="n">
        <x:v>46101</x:v>
      </x:c>
      <x:c r="D126" t="str">
        <x:v>Instagram</x:v>
      </x:c>
      <x:c r="E126" t="str">
        <x:v>Corretor 02</x:v>
      </x:c>
      <x:c r="F126" t="str">
        <x:v>Sim</x:v>
      </x:c>
      <x:c r="G126" t="str">
        <x:v>Sim</x:v>
      </x:c>
      <x:c r="H126" t="str">
        <x:v>Sim</x:v>
      </x:c>
      <x:c r="I126" t="str">
        <x:v>Não</x:v>
      </x:c>
      <x:c r="J126" t="n">
        <x:v>2</x:v>
      </x:c>
    </x:row>
    <x:row r="127">
      <x:c r="A127" t="str">
        <x:v>LEAD-000126</x:v>
      </x:c>
      <x:c r="B127" t="str">
        <x:v>IMV-0042</x:v>
      </x:c>
      <x:c r="C127" s="36" t="n">
        <x:v>46090</x:v>
      </x:c>
      <x:c r="D127" t="str">
        <x:v>Portal A</x:v>
      </x:c>
      <x:c r="E127" t="str">
        <x:v>Corretor 02</x:v>
      </x:c>
      <x:c r="F127" t="str">
        <x:v>Sim</x:v>
      </x:c>
      <x:c r="G127" t="str">
        <x:v>Sim</x:v>
      </x:c>
      <x:c r="H127" t="str">
        <x:v>Não</x:v>
      </x:c>
      <x:c r="I127" t="str">
        <x:v>Não</x:v>
      </x:c>
      <x:c r="J127" t="n">
        <x:v>2</x:v>
      </x:c>
    </x:row>
    <x:row r="128">
      <x:c r="A128" t="str">
        <x:v>LEAD-000127</x:v>
      </x:c>
      <x:c r="B128" t="str">
        <x:v>IMV-0042</x:v>
      </x:c>
      <x:c r="C128" s="36" t="n">
        <x:v>46170</x:v>
      </x:c>
      <x:c r="D128" t="str">
        <x:v>Instagram</x:v>
      </x:c>
      <x:c r="E128" t="str">
        <x:v>Corretor 02</x:v>
      </x:c>
      <x:c r="F128" t="str">
        <x:v>Sim</x:v>
      </x:c>
      <x:c r="G128" t="str">
        <x:v>Não</x:v>
      </x:c>
      <x:c r="H128" t="str">
        <x:v>Não</x:v>
      </x:c>
      <x:c r="I128" t="str">
        <x:v>Não</x:v>
      </x:c>
      <x:c r="J128" t="n">
        <x:v>0</x:v>
      </x:c>
    </x:row>
    <x:row r="129">
      <x:c r="A129" t="str">
        <x:v>LEAD-000128</x:v>
      </x:c>
      <x:c r="B129" t="str">
        <x:v>IMV-0043</x:v>
      </x:c>
      <x:c r="C129" s="36" t="n">
        <x:v>46064</x:v>
      </x:c>
      <x:c r="D129" t="str">
        <x:v>Portal B</x:v>
      </x:c>
      <x:c r="E129" t="str">
        <x:v>Corretor 01</x:v>
      </x:c>
      <x:c r="F129" t="str">
        <x:v>Não</x:v>
      </x:c>
      <x:c r="G129" t="str">
        <x:v>Não</x:v>
      </x:c>
      <x:c r="H129" t="str">
        <x:v>Não</x:v>
      </x:c>
      <x:c r="I129" t="str">
        <x:v>Não</x:v>
      </x:c>
      <x:c r="J129" t="n">
        <x:v>6</x:v>
      </x:c>
    </x:row>
    <x:row r="130">
      <x:c r="A130" t="str">
        <x:v>LEAD-000129</x:v>
      </x:c>
      <x:c r="B130" t="str">
        <x:v>IMV-0043</x:v>
      </x:c>
      <x:c r="C130" s="36" t="n">
        <x:v>46205</x:v>
      </x:c>
      <x:c r="D130" t="str">
        <x:v>Portal B</x:v>
      </x:c>
      <x:c r="E130" t="str">
        <x:v>Corretor 02</x:v>
      </x:c>
      <x:c r="F130" t="str">
        <x:v>Sim</x:v>
      </x:c>
      <x:c r="G130" t="str">
        <x:v>Não</x:v>
      </x:c>
      <x:c r="H130" t="str">
        <x:v>Não</x:v>
      </x:c>
      <x:c r="I130" t="str">
        <x:v>Não</x:v>
      </x:c>
      <x:c r="J130" t="n">
        <x:v>1</x:v>
      </x:c>
    </x:row>
    <x:row r="131">
      <x:c r="A131" t="str">
        <x:v>LEAD-000130</x:v>
      </x:c>
      <x:c r="B131" t="str">
        <x:v>IMV-0043</x:v>
      </x:c>
      <x:c r="C131" s="36" t="n">
        <x:v>46155</x:v>
      </x:c>
      <x:c r="D131" t="str">
        <x:v>Site próprio</x:v>
      </x:c>
      <x:c r="E131" t="str">
        <x:v>Corretor 04</x:v>
      </x:c>
      <x:c r="F131" t="str">
        <x:v>Sim</x:v>
      </x:c>
      <x:c r="G131" t="str">
        <x:v>Não</x:v>
      </x:c>
      <x:c r="H131" t="str">
        <x:v>Não</x:v>
      </x:c>
      <x:c r="I131" t="str">
        <x:v>Não</x:v>
      </x:c>
      <x:c r="J131" t="n">
        <x:v>3</x:v>
      </x:c>
    </x:row>
    <x:row r="132">
      <x:c r="A132" t="str">
        <x:v>LEAD-000131</x:v>
      </x:c>
      <x:c r="B132" t="str">
        <x:v>IMV-0043</x:v>
      </x:c>
      <x:c r="C132" s="36" t="n">
        <x:v>46190</x:v>
      </x:c>
      <x:c r="D132" t="str">
        <x:v>Indicação</x:v>
      </x:c>
      <x:c r="E132" t="str">
        <x:v>Corretor 02</x:v>
      </x:c>
      <x:c r="F132" t="str">
        <x:v>Sim</x:v>
      </x:c>
      <x:c r="G132" t="str">
        <x:v>Não</x:v>
      </x:c>
      <x:c r="H132" t="str">
        <x:v>Não</x:v>
      </x:c>
      <x:c r="I132" t="str">
        <x:v>Não</x:v>
      </x:c>
      <x:c r="J132" t="n">
        <x:v>0</x:v>
      </x:c>
    </x:row>
    <x:row r="133">
      <x:c r="A133" t="str">
        <x:v>LEAD-000132</x:v>
      </x:c>
      <x:c r="B133" t="str">
        <x:v>IMV-0043</x:v>
      </x:c>
      <x:c r="C133" s="36" t="n">
        <x:v>46163</x:v>
      </x:c>
      <x:c r="D133" t="str">
        <x:v>Indicação</x:v>
      </x:c>
      <x:c r="E133" t="str">
        <x:v>Corretor 02</x:v>
      </x:c>
      <x:c r="F133" t="str">
        <x:v>Sim</x:v>
      </x:c>
      <x:c r="G133" t="str">
        <x:v>Sim</x:v>
      </x:c>
      <x:c r="H133" t="str">
        <x:v>Não</x:v>
      </x:c>
      <x:c r="I133" t="str">
        <x:v>Não</x:v>
      </x:c>
      <x:c r="J133" t="n">
        <x:v>2</x:v>
      </x:c>
    </x:row>
    <x:row r="134">
      <x:c r="A134" t="str">
        <x:v>LEAD-000133</x:v>
      </x:c>
      <x:c r="B134" t="str">
        <x:v>IMV-0043</x:v>
      </x:c>
      <x:c r="C134" s="36" t="n">
        <x:v>46235</x:v>
      </x:c>
      <x:c r="D134" t="str">
        <x:v>Instagram</x:v>
      </x:c>
      <x:c r="E134" t="str">
        <x:v>Corretor 08</x:v>
      </x:c>
      <x:c r="F134" t="str">
        <x:v>Sim</x:v>
      </x:c>
      <x:c r="G134" t="str">
        <x:v>Não</x:v>
      </x:c>
      <x:c r="H134" t="str">
        <x:v>Não</x:v>
      </x:c>
      <x:c r="I134" t="str">
        <x:v>Não</x:v>
      </x:c>
      <x:c r="J134" t="n">
        <x:v>1</x:v>
      </x:c>
    </x:row>
    <x:row r="135">
      <x:c r="A135" t="str">
        <x:v>LEAD-000134</x:v>
      </x:c>
      <x:c r="B135" t="str">
        <x:v>IMV-0043</x:v>
      </x:c>
      <x:c r="C135" s="36" t="n">
        <x:v>46078</x:v>
      </x:c>
      <x:c r="D135" t="str">
        <x:v>Indicação</x:v>
      </x:c>
      <x:c r="E135" t="str">
        <x:v>Corretor 01</x:v>
      </x:c>
      <x:c r="F135" t="str">
        <x:v>Sim</x:v>
      </x:c>
      <x:c r="G135" t="str">
        <x:v>Não</x:v>
      </x:c>
      <x:c r="H135" t="str">
        <x:v>Não</x:v>
      </x:c>
      <x:c r="I135" t="str">
        <x:v>Não</x:v>
      </x:c>
      <x:c r="J135" t="n">
        <x:v>1</x:v>
      </x:c>
    </x:row>
    <x:row r="136">
      <x:c r="A136" t="str">
        <x:v>LEAD-000135</x:v>
      </x:c>
      <x:c r="B136" t="str">
        <x:v>IMV-0043</x:v>
      </x:c>
      <x:c r="C136" s="36" t="n">
        <x:v>46062</x:v>
      </x:c>
      <x:c r="D136" t="str">
        <x:v>Site próprio</x:v>
      </x:c>
      <x:c r="E136" t="str">
        <x:v>Corretor 06</x:v>
      </x:c>
      <x:c r="F136" t="str">
        <x:v>Sim</x:v>
      </x:c>
      <x:c r="G136" t="str">
        <x:v>Não</x:v>
      </x:c>
      <x:c r="H136" t="str">
        <x:v>Não</x:v>
      </x:c>
      <x:c r="I136" t="str">
        <x:v>Não</x:v>
      </x:c>
      <x:c r="J136" t="n">
        <x:v>3</x:v>
      </x:c>
    </x:row>
    <x:row r="137">
      <x:c r="A137" t="str">
        <x:v>LEAD-000136</x:v>
      </x:c>
      <x:c r="B137" t="str">
        <x:v>IMV-0043</x:v>
      </x:c>
      <x:c r="C137" s="36" t="n">
        <x:v>46113</x:v>
      </x:c>
      <x:c r="D137" t="str">
        <x:v>Portal B</x:v>
      </x:c>
      <x:c r="E137" t="str">
        <x:v>Corretor 02</x:v>
      </x:c>
      <x:c r="F137" t="str">
        <x:v>Não</x:v>
      </x:c>
      <x:c r="G137" t="str">
        <x:v>Não</x:v>
      </x:c>
      <x:c r="H137" t="str">
        <x:v>Não</x:v>
      </x:c>
      <x:c r="I137" t="str">
        <x:v>Não</x:v>
      </x:c>
      <x:c r="J137" t="n">
        <x:v>5</x:v>
      </x:c>
    </x:row>
    <x:row r="138">
      <x:c r="A138" t="str">
        <x:v>LEAD-000137</x:v>
      </x:c>
      <x:c r="B138" t="str">
        <x:v>IMV-0043</x:v>
      </x:c>
      <x:c r="C138" s="36" t="n">
        <x:v>46179</x:v>
      </x:c>
      <x:c r="D138" t="str">
        <x:v>Site próprio</x:v>
      </x:c>
      <x:c r="E138" t="str">
        <x:v>Corretor 06</x:v>
      </x:c>
      <x:c r="F138" t="str">
        <x:v>Não</x:v>
      </x:c>
      <x:c r="G138" t="str">
        <x:v>Não</x:v>
      </x:c>
      <x:c r="H138" t="str">
        <x:v>Não</x:v>
      </x:c>
      <x:c r="I138" t="str">
        <x:v>Não</x:v>
      </x:c>
      <x:c r="J138" t="n">
        <x:v>12</x:v>
      </x:c>
    </x:row>
    <x:row r="139">
      <x:c r="A139" t="str">
        <x:v>LEAD-000138</x:v>
      </x:c>
      <x:c r="B139" t="str">
        <x:v>IMV-0044</x:v>
      </x:c>
      <x:c r="C139" s="36" t="n">
        <x:v>46192</x:v>
      </x:c>
      <x:c r="D139" t="str">
        <x:v>Site próprio</x:v>
      </x:c>
      <x:c r="E139" t="str">
        <x:v>Corretor 08</x:v>
      </x:c>
      <x:c r="F139" t="str">
        <x:v>Sim</x:v>
      </x:c>
      <x:c r="G139" t="str">
        <x:v>Sim</x:v>
      </x:c>
      <x:c r="H139" t="str">
        <x:v>Sim</x:v>
      </x:c>
      <x:c r="I139" t="str">
        <x:v>Sim</x:v>
      </x:c>
      <x:c r="J139" t="n">
        <x:v>2</x:v>
      </x:c>
    </x:row>
    <x:row r="140">
      <x:c r="A140" t="str">
        <x:v>LEAD-000139</x:v>
      </x:c>
      <x:c r="B140" t="str">
        <x:v>IMV-0044</x:v>
      </x:c>
      <x:c r="C140" s="36" t="n">
        <x:v>46221</x:v>
      </x:c>
      <x:c r="D140" t="str">
        <x:v>Portal A</x:v>
      </x:c>
      <x:c r="E140" t="str">
        <x:v>Corretor 05</x:v>
      </x:c>
      <x:c r="F140" t="str">
        <x:v>Sim</x:v>
      </x:c>
      <x:c r="G140" t="str">
        <x:v>Sim</x:v>
      </x:c>
      <x:c r="H140" t="str">
        <x:v>Sim</x:v>
      </x:c>
      <x:c r="I140" t="str">
        <x:v>Sim</x:v>
      </x:c>
      <x:c r="J140" t="n">
        <x:v>1</x:v>
      </x:c>
    </x:row>
    <x:row r="141">
      <x:c r="A141" t="str">
        <x:v>LEAD-000140</x:v>
      </x:c>
      <x:c r="B141" t="str">
        <x:v>IMV-0045</x:v>
      </x:c>
      <x:c r="C141" s="36" t="n">
        <x:v>46162</x:v>
      </x:c>
      <x:c r="D141" t="str">
        <x:v>Portal B</x:v>
      </x:c>
      <x:c r="E141" t="str">
        <x:v>Corretor 01</x:v>
      </x:c>
      <x:c r="F141" t="str">
        <x:v>Sim</x:v>
      </x:c>
      <x:c r="G141" t="str">
        <x:v>Não</x:v>
      </x:c>
      <x:c r="H141" t="str">
        <x:v>Não</x:v>
      </x:c>
      <x:c r="I141" t="str">
        <x:v>Não</x:v>
      </x:c>
      <x:c r="J141" t="n">
        <x:v>3</x:v>
      </x:c>
    </x:row>
    <x:row r="142">
      <x:c r="A142" t="str">
        <x:v>LEAD-000141</x:v>
      </x:c>
      <x:c r="B142" t="str">
        <x:v>IMV-0045</x:v>
      </x:c>
      <x:c r="C142" s="36" t="n">
        <x:v>46145</x:v>
      </x:c>
      <x:c r="D142" t="str">
        <x:v>Instagram</x:v>
      </x:c>
      <x:c r="E142" t="str">
        <x:v>Corretor 04</x:v>
      </x:c>
      <x:c r="F142" t="str">
        <x:v>Sim</x:v>
      </x:c>
      <x:c r="G142" t="str">
        <x:v>Não</x:v>
      </x:c>
      <x:c r="H142" t="str">
        <x:v>Não</x:v>
      </x:c>
      <x:c r="I142" t="str">
        <x:v>Não</x:v>
      </x:c>
      <x:c r="J142" t="n">
        <x:v>2</x:v>
      </x:c>
    </x:row>
    <x:row r="143">
      <x:c r="A143" t="str">
        <x:v>LEAD-000142</x:v>
      </x:c>
      <x:c r="B143" t="str">
        <x:v>IMV-0045</x:v>
      </x:c>
      <x:c r="C143" s="36" t="n">
        <x:v>46221</x:v>
      </x:c>
      <x:c r="D143" t="str">
        <x:v>Portal A</x:v>
      </x:c>
      <x:c r="E143" t="str">
        <x:v>Corretor 06</x:v>
      </x:c>
      <x:c r="F143" t="str">
        <x:v>Não</x:v>
      </x:c>
      <x:c r="G143" t="str">
        <x:v>Não</x:v>
      </x:c>
      <x:c r="H143" t="str">
        <x:v>Não</x:v>
      </x:c>
      <x:c r="I143" t="str">
        <x:v>Não</x:v>
      </x:c>
      <x:c r="J143" t="n">
        <x:v>7</x:v>
      </x:c>
    </x:row>
    <x:row r="144">
      <x:c r="A144" t="str">
        <x:v>LEAD-000143</x:v>
      </x:c>
      <x:c r="B144" t="str">
        <x:v>IMV-0045</x:v>
      </x:c>
      <x:c r="C144" s="36" t="n">
        <x:v>46167</x:v>
      </x:c>
      <x:c r="D144" t="str">
        <x:v>Indicação</x:v>
      </x:c>
      <x:c r="E144" t="str">
        <x:v>Corretor 08</x:v>
      </x:c>
      <x:c r="F144" t="str">
        <x:v>Sim</x:v>
      </x:c>
      <x:c r="G144" t="str">
        <x:v>Sim</x:v>
      </x:c>
      <x:c r="H144" t="str">
        <x:v>Não</x:v>
      </x:c>
      <x:c r="I144" t="str">
        <x:v>Não</x:v>
      </x:c>
      <x:c r="J144" t="n">
        <x:v>3</x:v>
      </x:c>
    </x:row>
    <x:row r="145">
      <x:c r="A145" t="str">
        <x:v>LEAD-000144</x:v>
      </x:c>
      <x:c r="B145" t="str">
        <x:v>IMV-0045</x:v>
      </x:c>
      <x:c r="C145" s="36" t="n">
        <x:v>46093</x:v>
      </x:c>
      <x:c r="D145" t="str">
        <x:v>Portal B</x:v>
      </x:c>
      <x:c r="E145" t="str">
        <x:v>Corretor 04</x:v>
      </x:c>
      <x:c r="F145" t="str">
        <x:v>Sim</x:v>
      </x:c>
      <x:c r="G145" t="str">
        <x:v>Sim</x:v>
      </x:c>
      <x:c r="H145" t="str">
        <x:v>Não</x:v>
      </x:c>
      <x:c r="I145" t="str">
        <x:v>Não</x:v>
      </x:c>
      <x:c r="J145" t="n">
        <x:v>0</x:v>
      </x:c>
    </x:row>
    <x:row r="146">
      <x:c r="A146" t="str">
        <x:v>LEAD-000145</x:v>
      </x:c>
      <x:c r="B146" t="str">
        <x:v>IMV-0045</x:v>
      </x:c>
      <x:c r="C146" s="36" t="n">
        <x:v>46065</x:v>
      </x:c>
      <x:c r="D146" t="str">
        <x:v>Portal A</x:v>
      </x:c>
      <x:c r="E146" t="str">
        <x:v>Corretor 02</x:v>
      </x:c>
      <x:c r="F146" t="str">
        <x:v>Sim</x:v>
      </x:c>
      <x:c r="G146" t="str">
        <x:v>Sim</x:v>
      </x:c>
      <x:c r="H146" t="str">
        <x:v>Sim</x:v>
      </x:c>
      <x:c r="I146" t="str">
        <x:v>Não</x:v>
      </x:c>
      <x:c r="J146" t="n">
        <x:v>3</x:v>
      </x:c>
    </x:row>
    <x:row r="147">
      <x:c r="A147" t="str">
        <x:v>LEAD-000146</x:v>
      </x:c>
      <x:c r="B147" t="str">
        <x:v>IMV-0046</x:v>
      </x:c>
      <x:c r="C147" s="36" t="n">
        <x:v>46209</x:v>
      </x:c>
      <x:c r="D147" t="str">
        <x:v>Site próprio</x:v>
      </x:c>
      <x:c r="E147" t="str">
        <x:v>Corretor 08</x:v>
      </x:c>
      <x:c r="F147" t="str">
        <x:v>Sim</x:v>
      </x:c>
      <x:c r="G147" t="str">
        <x:v>Sim</x:v>
      </x:c>
      <x:c r="H147" t="str">
        <x:v>Sim</x:v>
      </x:c>
      <x:c r="I147" t="str">
        <x:v>Não</x:v>
      </x:c>
      <x:c r="J147" t="n">
        <x:v>3</x:v>
      </x:c>
    </x:row>
    <x:row r="148">
      <x:c r="A148" t="str">
        <x:v>LEAD-000147</x:v>
      </x:c>
      <x:c r="B148" t="str">
        <x:v>IMV-0046</x:v>
      </x:c>
      <x:c r="C148" s="36" t="n">
        <x:v>46220</x:v>
      </x:c>
      <x:c r="D148" t="str">
        <x:v>Instagram</x:v>
      </x:c>
      <x:c r="E148" t="str">
        <x:v>Corretor 03</x:v>
      </x:c>
      <x:c r="F148" t="str">
        <x:v>Sim</x:v>
      </x:c>
      <x:c r="G148" t="str">
        <x:v>Não</x:v>
      </x:c>
      <x:c r="H148" t="str">
        <x:v>Não</x:v>
      </x:c>
      <x:c r="I148" t="str">
        <x:v>Não</x:v>
      </x:c>
      <x:c r="J148" t="n">
        <x:v>0</x:v>
      </x:c>
    </x:row>
    <x:row r="149">
      <x:c r="A149" t="str">
        <x:v>LEAD-000148</x:v>
      </x:c>
      <x:c r="B149" t="str">
        <x:v>IMV-0046</x:v>
      </x:c>
      <x:c r="C149" s="36" t="n">
        <x:v>46135</x:v>
      </x:c>
      <x:c r="D149" t="str">
        <x:v>Portal A</x:v>
      </x:c>
      <x:c r="E149" t="str">
        <x:v>Corretor 04</x:v>
      </x:c>
      <x:c r="F149" t="str">
        <x:v>Sim</x:v>
      </x:c>
      <x:c r="G149" t="str">
        <x:v>Não</x:v>
      </x:c>
      <x:c r="H149" t="str">
        <x:v>Não</x:v>
      </x:c>
      <x:c r="I149" t="str">
        <x:v>Não</x:v>
      </x:c>
      <x:c r="J149" t="n">
        <x:v>3</x:v>
      </x:c>
    </x:row>
    <x:row r="150">
      <x:c r="A150" t="str">
        <x:v>LEAD-000149</x:v>
      </x:c>
      <x:c r="B150" t="str">
        <x:v>IMV-0047</x:v>
      </x:c>
      <x:c r="C150" s="36" t="n">
        <x:v>46228</x:v>
      </x:c>
      <x:c r="D150" t="str">
        <x:v>Instagram</x:v>
      </x:c>
      <x:c r="E150" t="str">
        <x:v>Corretor 05</x:v>
      </x:c>
      <x:c r="F150" t="str">
        <x:v>Sim</x:v>
      </x:c>
      <x:c r="G150" t="str">
        <x:v>Não</x:v>
      </x:c>
      <x:c r="H150" t="str">
        <x:v>Não</x:v>
      </x:c>
      <x:c r="I150" t="str">
        <x:v>Não</x:v>
      </x:c>
      <x:c r="J150" t="n">
        <x:v>0</x:v>
      </x:c>
    </x:row>
    <x:row r="151">
      <x:c r="A151" t="str">
        <x:v>LEAD-000150</x:v>
      </x:c>
      <x:c r="B151" t="str">
        <x:v>IMV-0047</x:v>
      </x:c>
      <x:c r="C151" s="36" t="n">
        <x:v>46162</x:v>
      </x:c>
      <x:c r="D151" t="str">
        <x:v>Portal B</x:v>
      </x:c>
      <x:c r="E151" t="str">
        <x:v>Corretor 07</x:v>
      </x:c>
      <x:c r="F151" t="str">
        <x:v>Sim</x:v>
      </x:c>
      <x:c r="G151" t="str">
        <x:v>Sim</x:v>
      </x:c>
      <x:c r="H151" t="str">
        <x:v>Não</x:v>
      </x:c>
      <x:c r="I151" t="str">
        <x:v>Não</x:v>
      </x:c>
      <x:c r="J151" t="n">
        <x:v>4</x:v>
      </x:c>
    </x:row>
    <x:row r="152">
      <x:c r="A152" t="str">
        <x:v>LEAD-000151</x:v>
      </x:c>
      <x:c r="B152" t="str">
        <x:v>IMV-0048</x:v>
      </x:c>
      <x:c r="C152" s="36" t="n">
        <x:v>46088</x:v>
      </x:c>
      <x:c r="D152" t="str">
        <x:v>Portal A</x:v>
      </x:c>
      <x:c r="E152" t="str">
        <x:v>Corretor 04</x:v>
      </x:c>
      <x:c r="F152" t="str">
        <x:v>Sim</x:v>
      </x:c>
      <x:c r="G152" t="str">
        <x:v>Sim</x:v>
      </x:c>
      <x:c r="H152" t="str">
        <x:v>Não</x:v>
      </x:c>
      <x:c r="I152" t="str">
        <x:v>Não</x:v>
      </x:c>
      <x:c r="J152" t="n">
        <x:v>4</x:v>
      </x:c>
    </x:row>
    <x:row r="153">
      <x:c r="A153" t="str">
        <x:v>LEAD-000152</x:v>
      </x:c>
      <x:c r="B153" t="str">
        <x:v>IMV-0048</x:v>
      </x:c>
      <x:c r="C153" s="36" t="n">
        <x:v>46095</x:v>
      </x:c>
      <x:c r="D153" t="str">
        <x:v>Portal B</x:v>
      </x:c>
      <x:c r="E153" t="str">
        <x:v>Corretor 05</x:v>
      </x:c>
      <x:c r="F153" t="str">
        <x:v>Sim</x:v>
      </x:c>
      <x:c r="G153" t="str">
        <x:v>Sim</x:v>
      </x:c>
      <x:c r="H153" t="str">
        <x:v>Não</x:v>
      </x:c>
      <x:c r="I153" t="str">
        <x:v>Não</x:v>
      </x:c>
      <x:c r="J153" t="n">
        <x:v>4</x:v>
      </x:c>
    </x:row>
    <x:row r="154">
      <x:c r="A154" t="str">
        <x:v>LEAD-000153</x:v>
      </x:c>
      <x:c r="B154" t="str">
        <x:v>IMV-0048</x:v>
      </x:c>
      <x:c r="C154" s="36" t="n">
        <x:v>46165</x:v>
      </x:c>
      <x:c r="D154" t="str">
        <x:v>Site próprio</x:v>
      </x:c>
      <x:c r="E154" t="str">
        <x:v>Corretor 08</x:v>
      </x:c>
      <x:c r="F154" t="str">
        <x:v>Sim</x:v>
      </x:c>
      <x:c r="G154" t="str">
        <x:v>Não</x:v>
      </x:c>
      <x:c r="H154" t="str">
        <x:v>Não</x:v>
      </x:c>
      <x:c r="I154" t="str">
        <x:v>Não</x:v>
      </x:c>
      <x:c r="J154" t="n">
        <x:v>3</x:v>
      </x:c>
    </x:row>
    <x:row r="155">
      <x:c r="A155" t="str">
        <x:v>LEAD-000154</x:v>
      </x:c>
      <x:c r="B155" t="str">
        <x:v>IMV-0048</x:v>
      </x:c>
      <x:c r="C155" s="36" t="n">
        <x:v>46202</x:v>
      </x:c>
      <x:c r="D155" t="str">
        <x:v>Indicação</x:v>
      </x:c>
      <x:c r="E155" t="str">
        <x:v>Corretor 01</x:v>
      </x:c>
      <x:c r="F155" t="str">
        <x:v>Sim</x:v>
      </x:c>
      <x:c r="G155" t="str">
        <x:v>Sim</x:v>
      </x:c>
      <x:c r="H155" t="str">
        <x:v>Não</x:v>
      </x:c>
      <x:c r="I155" t="str">
        <x:v>Não</x:v>
      </x:c>
      <x:c r="J155" t="n">
        <x:v>2</x:v>
      </x:c>
    </x:row>
    <x:row r="156">
      <x:c r="A156" t="str">
        <x:v>LEAD-000155</x:v>
      </x:c>
      <x:c r="B156" t="str">
        <x:v>IMV-0048</x:v>
      </x:c>
      <x:c r="C156" s="36" t="n">
        <x:v>46183</x:v>
      </x:c>
      <x:c r="D156" t="str">
        <x:v>Instagram</x:v>
      </x:c>
      <x:c r="E156" t="str">
        <x:v>Corretor 08</x:v>
      </x:c>
      <x:c r="F156" t="str">
        <x:v>Sim</x:v>
      </x:c>
      <x:c r="G156" t="str">
        <x:v>Sim</x:v>
      </x:c>
      <x:c r="H156" t="str">
        <x:v>Não</x:v>
      </x:c>
      <x:c r="I156" t="str">
        <x:v>Não</x:v>
      </x:c>
      <x:c r="J156" t="n">
        <x:v>1</x:v>
      </x:c>
    </x:row>
    <x:row r="157">
      <x:c r="A157" t="str">
        <x:v>LEAD-000156</x:v>
      </x:c>
      <x:c r="B157" t="str">
        <x:v>IMV-0048</x:v>
      </x:c>
      <x:c r="C157" s="36" t="n">
        <x:v>46151</x:v>
      </x:c>
      <x:c r="D157" t="str">
        <x:v>Portal A</x:v>
      </x:c>
      <x:c r="E157" t="str">
        <x:v>Corretor 06</x:v>
      </x:c>
      <x:c r="F157" t="str">
        <x:v>Não</x:v>
      </x:c>
      <x:c r="G157" t="str">
        <x:v>Não</x:v>
      </x:c>
      <x:c r="H157" t="str">
        <x:v>Não</x:v>
      </x:c>
      <x:c r="I157" t="str">
        <x:v>Não</x:v>
      </x:c>
      <x:c r="J157" t="n">
        <x:v>6</x:v>
      </x:c>
    </x:row>
    <x:row r="158">
      <x:c r="A158" t="str">
        <x:v>LEAD-000157</x:v>
      </x:c>
      <x:c r="B158" t="str">
        <x:v>IMV-0050</x:v>
      </x:c>
      <x:c r="C158" s="36" t="n">
        <x:v>46201</x:v>
      </x:c>
      <x:c r="D158" t="str">
        <x:v>Portal A</x:v>
      </x:c>
      <x:c r="E158" t="str">
        <x:v>Corretor 03</x:v>
      </x:c>
      <x:c r="F158" t="str">
        <x:v>Sim</x:v>
      </x:c>
      <x:c r="G158" t="str">
        <x:v>Não</x:v>
      </x:c>
      <x:c r="H158" t="str">
        <x:v>Não</x:v>
      </x:c>
      <x:c r="I158" t="str">
        <x:v>Não</x:v>
      </x:c>
      <x:c r="J158" t="n">
        <x:v>1</x:v>
      </x:c>
    </x:row>
    <x:row r="159">
      <x:c r="A159" t="str">
        <x:v>LEAD-000158</x:v>
      </x:c>
      <x:c r="B159" t="str">
        <x:v>IMV-0050</x:v>
      </x:c>
      <x:c r="C159" s="36" t="n">
        <x:v>46212</x:v>
      </x:c>
      <x:c r="D159" t="str">
        <x:v>Portal A</x:v>
      </x:c>
      <x:c r="E159" t="str">
        <x:v>Corretor 04</x:v>
      </x:c>
      <x:c r="F159" t="str">
        <x:v>Sim</x:v>
      </x:c>
      <x:c r="G159" t="str">
        <x:v>Não</x:v>
      </x:c>
      <x:c r="H159" t="str">
        <x:v>Não</x:v>
      </x:c>
      <x:c r="I159" t="str">
        <x:v>Não</x:v>
      </x:c>
      <x:c r="J159" t="n">
        <x:v>3</x:v>
      </x:c>
    </x:row>
    <x:row r="160">
      <x:c r="A160" t="str">
        <x:v>LEAD-000159</x:v>
      </x:c>
      <x:c r="B160" t="str">
        <x:v>IMV-0050</x:v>
      </x:c>
      <x:c r="C160" s="36" t="n">
        <x:v>46227</x:v>
      </x:c>
      <x:c r="D160" t="str">
        <x:v>Portal A</x:v>
      </x:c>
      <x:c r="E160" t="str">
        <x:v>Corretor 04</x:v>
      </x:c>
      <x:c r="F160" t="str">
        <x:v>Sim</x:v>
      </x:c>
      <x:c r="G160" t="str">
        <x:v>Sim</x:v>
      </x:c>
      <x:c r="H160" t="str">
        <x:v>Não</x:v>
      </x:c>
      <x:c r="I160" t="str">
        <x:v>Não</x:v>
      </x:c>
      <x:c r="J160" t="n">
        <x:v>4</x:v>
      </x:c>
    </x:row>
    <x:row r="161">
      <x:c r="A161" t="str">
        <x:v>LEAD-000160</x:v>
      </x:c>
      <x:c r="B161" t="str">
        <x:v>IMV-0050</x:v>
      </x:c>
      <x:c r="C161" s="36" t="n">
        <x:v>46103</x:v>
      </x:c>
      <x:c r="D161" t="str">
        <x:v>Portal B</x:v>
      </x:c>
      <x:c r="E161" t="str">
        <x:v>Corretor 04</x:v>
      </x:c>
      <x:c r="F161" t="str">
        <x:v>Sim</x:v>
      </x:c>
      <x:c r="G161" t="str">
        <x:v>Não</x:v>
      </x:c>
      <x:c r="H161" t="str">
        <x:v>Não</x:v>
      </x:c>
      <x:c r="I161" t="str">
        <x:v>Não</x:v>
      </x:c>
      <x:c r="J161" t="n">
        <x:v>2</x:v>
      </x:c>
    </x:row>
    <x:row r="162">
      <x:c r="A162" t="str">
        <x:v>LEAD-000161</x:v>
      </x:c>
      <x:c r="B162" t="str">
        <x:v>IMV-0050</x:v>
      </x:c>
      <x:c r="C162" s="36" t="n">
        <x:v>46152</x:v>
      </x:c>
      <x:c r="D162" t="str">
        <x:v>Portal A</x:v>
      </x:c>
      <x:c r="E162" t="str">
        <x:v>Corretor 01</x:v>
      </x:c>
      <x:c r="F162" t="str">
        <x:v>Sim</x:v>
      </x:c>
      <x:c r="G162" t="str">
        <x:v>Sim</x:v>
      </x:c>
      <x:c r="H162" t="str">
        <x:v>Sim</x:v>
      </x:c>
      <x:c r="I162" t="str">
        <x:v>Não</x:v>
      </x:c>
      <x:c r="J162" t="n">
        <x:v>1</x:v>
      </x:c>
    </x:row>
    <x:row r="163">
      <x:c r="A163" t="str">
        <x:v>LEAD-000162</x:v>
      </x:c>
      <x:c r="B163" t="str">
        <x:v>IMV-0051</x:v>
      </x:c>
      <x:c r="C163" s="36" t="n">
        <x:v>46103</x:v>
      </x:c>
      <x:c r="D163" t="str">
        <x:v>Portal B</x:v>
      </x:c>
      <x:c r="E163" t="str">
        <x:v>Corretor 07</x:v>
      </x:c>
      <x:c r="F163" t="str">
        <x:v>Sim</x:v>
      </x:c>
      <x:c r="G163" t="str">
        <x:v>Não</x:v>
      </x:c>
      <x:c r="H163" t="str">
        <x:v>Não</x:v>
      </x:c>
      <x:c r="I163" t="str">
        <x:v>Não</x:v>
      </x:c>
      <x:c r="J163" t="n">
        <x:v>2</x:v>
      </x:c>
    </x:row>
    <x:row r="164">
      <x:c r="A164" t="str">
        <x:v>LEAD-000163</x:v>
      </x:c>
      <x:c r="B164" t="str">
        <x:v>IMV-0051</x:v>
      </x:c>
      <x:c r="C164" s="36" t="n">
        <x:v>46114</x:v>
      </x:c>
      <x:c r="D164" t="str">
        <x:v>Portal A</x:v>
      </x:c>
      <x:c r="E164" t="str">
        <x:v>Corretor 06</x:v>
      </x:c>
      <x:c r="F164" t="str">
        <x:v>Sim</x:v>
      </x:c>
      <x:c r="G164" t="str">
        <x:v>Não</x:v>
      </x:c>
      <x:c r="H164" t="str">
        <x:v>Não</x:v>
      </x:c>
      <x:c r="I164" t="str">
        <x:v>Não</x:v>
      </x:c>
      <x:c r="J164" t="n">
        <x:v>4</x:v>
      </x:c>
    </x:row>
    <x:row r="165">
      <x:c r="A165" t="str">
        <x:v>LEAD-000164</x:v>
      </x:c>
      <x:c r="B165" t="str">
        <x:v>IMV-0051</x:v>
      </x:c>
      <x:c r="C165" s="36" t="n">
        <x:v>46109</x:v>
      </x:c>
      <x:c r="D165" t="str">
        <x:v>Instagram</x:v>
      </x:c>
      <x:c r="E165" t="str">
        <x:v>Corretor 01</x:v>
      </x:c>
      <x:c r="F165" t="str">
        <x:v>Sim</x:v>
      </x:c>
      <x:c r="G165" t="str">
        <x:v>Não</x:v>
      </x:c>
      <x:c r="H165" t="str">
        <x:v>Não</x:v>
      </x:c>
      <x:c r="I165" t="str">
        <x:v>Não</x:v>
      </x:c>
      <x:c r="J165" t="n">
        <x:v>4</x:v>
      </x:c>
    </x:row>
    <x:row r="166">
      <x:c r="A166" t="str">
        <x:v>LEAD-000165</x:v>
      </x:c>
      <x:c r="B166" t="str">
        <x:v>IMV-0051</x:v>
      </x:c>
      <x:c r="C166" s="36" t="n">
        <x:v>46160</x:v>
      </x:c>
      <x:c r="D166" t="str">
        <x:v>Portal B</x:v>
      </x:c>
      <x:c r="E166" t="str">
        <x:v>Corretor 05</x:v>
      </x:c>
      <x:c r="F166" t="str">
        <x:v>Não</x:v>
      </x:c>
      <x:c r="G166" t="str">
        <x:v>Não</x:v>
      </x:c>
      <x:c r="H166" t="str">
        <x:v>Não</x:v>
      </x:c>
      <x:c r="I166" t="str">
        <x:v>Não</x:v>
      </x:c>
      <x:c r="J166" t="n">
        <x:v>5</x:v>
      </x:c>
    </x:row>
    <x:row r="167">
      <x:c r="A167" t="str">
        <x:v>LEAD-000166</x:v>
      </x:c>
      <x:c r="B167" t="str">
        <x:v>IMV-0051</x:v>
      </x:c>
      <x:c r="C167" s="36" t="n">
        <x:v>46123</x:v>
      </x:c>
      <x:c r="D167" t="str">
        <x:v>Indicação</x:v>
      </x:c>
      <x:c r="E167" t="str">
        <x:v>Corretor 05</x:v>
      </x:c>
      <x:c r="F167" t="str">
        <x:v>Não</x:v>
      </x:c>
      <x:c r="G167" t="str">
        <x:v>Não</x:v>
      </x:c>
      <x:c r="H167" t="str">
        <x:v>Não</x:v>
      </x:c>
      <x:c r="I167" t="str">
        <x:v>Não</x:v>
      </x:c>
      <x:c r="J167" t="n">
        <x:v>8</x:v>
      </x:c>
    </x:row>
    <x:row r="168">
      <x:c r="A168" t="str">
        <x:v>LEAD-000167</x:v>
      </x:c>
      <x:c r="B168" t="str">
        <x:v>IMV-0051</x:v>
      </x:c>
      <x:c r="C168" s="36" t="n">
        <x:v>46076</x:v>
      </x:c>
      <x:c r="D168" t="str">
        <x:v>Instagram</x:v>
      </x:c>
      <x:c r="E168" t="str">
        <x:v>Corretor 07</x:v>
      </x:c>
      <x:c r="F168" t="str">
        <x:v>Não</x:v>
      </x:c>
      <x:c r="G168" t="str">
        <x:v>Não</x:v>
      </x:c>
      <x:c r="H168" t="str">
        <x:v>Não</x:v>
      </x:c>
      <x:c r="I168" t="str">
        <x:v>Não</x:v>
      </x:c>
      <x:c r="J168" t="n">
        <x:v>15</x:v>
      </x:c>
    </x:row>
    <x:row r="169">
      <x:c r="A169" t="str">
        <x:v>LEAD-000168</x:v>
      </x:c>
      <x:c r="B169" t="str">
        <x:v>IMV-0051</x:v>
      </x:c>
      <x:c r="C169" s="36" t="n">
        <x:v>46102</x:v>
      </x:c>
      <x:c r="D169" t="str">
        <x:v>Portal B</x:v>
      </x:c>
      <x:c r="E169" t="str">
        <x:v>Corretor 02</x:v>
      </x:c>
      <x:c r="F169" t="str">
        <x:v>Sim</x:v>
      </x:c>
      <x:c r="G169" t="str">
        <x:v>Não</x:v>
      </x:c>
      <x:c r="H169" t="str">
        <x:v>Não</x:v>
      </x:c>
      <x:c r="I169" t="str">
        <x:v>Não</x:v>
      </x:c>
      <x:c r="J169" t="n">
        <x:v>1</x:v>
      </x:c>
    </x:row>
    <x:row r="170">
      <x:c r="A170" t="str">
        <x:v>LEAD-000169</x:v>
      </x:c>
      <x:c r="B170" t="str">
        <x:v>IMV-0051</x:v>
      </x:c>
      <x:c r="C170" s="36" t="n">
        <x:v>46203</x:v>
      </x:c>
      <x:c r="D170" t="str">
        <x:v>Instagram</x:v>
      </x:c>
      <x:c r="E170" t="str">
        <x:v>Corretor 08</x:v>
      </x:c>
      <x:c r="F170" t="str">
        <x:v>Sim</x:v>
      </x:c>
      <x:c r="G170" t="str">
        <x:v>Não</x:v>
      </x:c>
      <x:c r="H170" t="str">
        <x:v>Não</x:v>
      </x:c>
      <x:c r="I170" t="str">
        <x:v>Não</x:v>
      </x:c>
      <x:c r="J170" t="n">
        <x:v>2</x:v>
      </x:c>
    </x:row>
    <x:row r="171">
      <x:c r="A171" t="str">
        <x:v>LEAD-000170</x:v>
      </x:c>
      <x:c r="B171" t="str">
        <x:v>IMV-0051</x:v>
      </x:c>
      <x:c r="C171" s="36" t="n">
        <x:v>46068</x:v>
      </x:c>
      <x:c r="D171" t="str">
        <x:v>Portal A</x:v>
      </x:c>
      <x:c r="E171" t="str">
        <x:v>Corretor 07</x:v>
      </x:c>
      <x:c r="F171" t="str">
        <x:v>Sim</x:v>
      </x:c>
      <x:c r="G171" t="str">
        <x:v>Não</x:v>
      </x:c>
      <x:c r="H171" t="str">
        <x:v>Não</x:v>
      </x:c>
      <x:c r="I171" t="str">
        <x:v>Não</x:v>
      </x:c>
      <x:c r="J171" t="n">
        <x:v>2</x:v>
      </x:c>
    </x:row>
    <x:row r="172">
      <x:c r="A172" t="str">
        <x:v>LEAD-000171</x:v>
      </x:c>
      <x:c r="B172" t="str">
        <x:v>IMV-0051</x:v>
      </x:c>
      <x:c r="C172" s="36" t="n">
        <x:v>46089</x:v>
      </x:c>
      <x:c r="D172" t="str">
        <x:v>Site próprio</x:v>
      </x:c>
      <x:c r="E172" t="str">
        <x:v>Corretor 03</x:v>
      </x:c>
      <x:c r="F172" t="str">
        <x:v>Sim</x:v>
      </x:c>
      <x:c r="G172" t="str">
        <x:v>Não</x:v>
      </x:c>
      <x:c r="H172" t="str">
        <x:v>Não</x:v>
      </x:c>
      <x:c r="I172" t="str">
        <x:v>Não</x:v>
      </x:c>
      <x:c r="J172" t="n">
        <x:v>3</x:v>
      </x:c>
    </x:row>
    <x:row r="173">
      <x:c r="A173" t="str">
        <x:v>LEAD-000172</x:v>
      </x:c>
      <x:c r="B173" t="str">
        <x:v>IMV-0051</x:v>
      </x:c>
      <x:c r="C173" s="36" t="n">
        <x:v>46233</x:v>
      </x:c>
      <x:c r="D173" t="str">
        <x:v>Indicação</x:v>
      </x:c>
      <x:c r="E173" t="str">
        <x:v>Corretor 01</x:v>
      </x:c>
      <x:c r="F173" t="str">
        <x:v>Sim</x:v>
      </x:c>
      <x:c r="G173" t="str">
        <x:v>Sim</x:v>
      </x:c>
      <x:c r="H173" t="str">
        <x:v>Sim</x:v>
      </x:c>
      <x:c r="I173" t="str">
        <x:v>Sim</x:v>
      </x:c>
      <x:c r="J173" t="n">
        <x:v>1</x:v>
      </x:c>
    </x:row>
    <x:row r="174">
      <x:c r="A174" t="str">
        <x:v>LEAD-000173</x:v>
      </x:c>
      <x:c r="B174" t="str">
        <x:v>IMV-0051</x:v>
      </x:c>
      <x:c r="C174" s="36" t="n">
        <x:v>46124</x:v>
      </x:c>
      <x:c r="D174" t="str">
        <x:v>Portal A</x:v>
      </x:c>
      <x:c r="E174" t="str">
        <x:v>Corretor 02</x:v>
      </x:c>
      <x:c r="F174" t="str">
        <x:v>Sim</x:v>
      </x:c>
      <x:c r="G174" t="str">
        <x:v>Sim</x:v>
      </x:c>
      <x:c r="H174" t="str">
        <x:v>Não</x:v>
      </x:c>
      <x:c r="I174" t="str">
        <x:v>Não</x:v>
      </x:c>
      <x:c r="J174" t="n">
        <x:v>3</x:v>
      </x:c>
    </x:row>
    <x:row r="175">
      <x:c r="A175" t="str">
        <x:v>LEAD-000174</x:v>
      </x:c>
      <x:c r="B175" t="str">
        <x:v>IMV-0051</x:v>
      </x:c>
      <x:c r="C175" s="36" t="n">
        <x:v>46193</x:v>
      </x:c>
      <x:c r="D175" t="str">
        <x:v>Portal B</x:v>
      </x:c>
      <x:c r="E175" t="str">
        <x:v>Corretor 04</x:v>
      </x:c>
      <x:c r="F175" t="str">
        <x:v>Sim</x:v>
      </x:c>
      <x:c r="G175" t="str">
        <x:v>Não</x:v>
      </x:c>
      <x:c r="H175" t="str">
        <x:v>Não</x:v>
      </x:c>
      <x:c r="I175" t="str">
        <x:v>Não</x:v>
      </x:c>
      <x:c r="J175" t="n">
        <x:v>1</x:v>
      </x:c>
    </x:row>
    <x:row r="176">
      <x:c r="A176" t="str">
        <x:v>LEAD-000175</x:v>
      </x:c>
      <x:c r="B176" t="str">
        <x:v>IMV-0051</x:v>
      </x:c>
      <x:c r="C176" s="36" t="n">
        <x:v>46162</x:v>
      </x:c>
      <x:c r="D176" t="str">
        <x:v>Indicação</x:v>
      </x:c>
      <x:c r="E176" t="str">
        <x:v>Corretor 08</x:v>
      </x:c>
      <x:c r="F176" t="str">
        <x:v>Sim</x:v>
      </x:c>
      <x:c r="G176" t="str">
        <x:v>Não</x:v>
      </x:c>
      <x:c r="H176" t="str">
        <x:v>Não</x:v>
      </x:c>
      <x:c r="I176" t="str">
        <x:v>Não</x:v>
      </x:c>
      <x:c r="J176" t="n">
        <x:v>4</x:v>
      </x:c>
    </x:row>
    <x:row r="177">
      <x:c r="A177" t="str">
        <x:v>LEAD-000176</x:v>
      </x:c>
      <x:c r="B177" t="str">
        <x:v>IMV-0051</x:v>
      </x:c>
      <x:c r="C177" s="36" t="n">
        <x:v>46075</x:v>
      </x:c>
      <x:c r="D177" t="str">
        <x:v>Portal B</x:v>
      </x:c>
      <x:c r="E177" t="str">
        <x:v>Corretor 01</x:v>
      </x:c>
      <x:c r="F177" t="str">
        <x:v>Sim</x:v>
      </x:c>
      <x:c r="G177" t="str">
        <x:v>Sim</x:v>
      </x:c>
      <x:c r="H177" t="str">
        <x:v>Não</x:v>
      </x:c>
      <x:c r="I177" t="str">
        <x:v>Não</x:v>
      </x:c>
      <x:c r="J177" t="n">
        <x:v>2</x:v>
      </x:c>
    </x:row>
    <x:row r="178">
      <x:c r="A178" t="str">
        <x:v>LEAD-000177</x:v>
      </x:c>
      <x:c r="B178" t="str">
        <x:v>IMV-0052</x:v>
      </x:c>
      <x:c r="C178" s="36" t="n">
        <x:v>46097</x:v>
      </x:c>
      <x:c r="D178" t="str">
        <x:v>Indicação</x:v>
      </x:c>
      <x:c r="E178" t="str">
        <x:v>Corretor 07</x:v>
      </x:c>
      <x:c r="F178" t="str">
        <x:v>Sim</x:v>
      </x:c>
      <x:c r="G178" t="str">
        <x:v>Não</x:v>
      </x:c>
      <x:c r="H178" t="str">
        <x:v>Não</x:v>
      </x:c>
      <x:c r="I178" t="str">
        <x:v>Não</x:v>
      </x:c>
      <x:c r="J178" t="n">
        <x:v>2</x:v>
      </x:c>
    </x:row>
    <x:row r="179">
      <x:c r="A179" t="str">
        <x:v>LEAD-000178</x:v>
      </x:c>
      <x:c r="B179" t="str">
        <x:v>IMV-0054</x:v>
      </x:c>
      <x:c r="C179" s="36" t="n">
        <x:v>46233</x:v>
      </x:c>
      <x:c r="D179" t="str">
        <x:v>Portal A</x:v>
      </x:c>
      <x:c r="E179" t="str">
        <x:v>Corretor 05</x:v>
      </x:c>
      <x:c r="F179" t="str">
        <x:v>Não</x:v>
      </x:c>
      <x:c r="G179" t="str">
        <x:v>Não</x:v>
      </x:c>
      <x:c r="H179" t="str">
        <x:v>Não</x:v>
      </x:c>
      <x:c r="I179" t="str">
        <x:v>Não</x:v>
      </x:c>
      <x:c r="J179" t="n">
        <x:v>15</x:v>
      </x:c>
    </x:row>
    <x:row r="180">
      <x:c r="A180" t="str">
        <x:v>LEAD-000179</x:v>
      </x:c>
      <x:c r="B180" t="str">
        <x:v>IMV-0054</x:v>
      </x:c>
      <x:c r="C180" s="36" t="n">
        <x:v>46067</x:v>
      </x:c>
      <x:c r="D180" t="str">
        <x:v>Instagram</x:v>
      </x:c>
      <x:c r="E180" t="str">
        <x:v>Corretor 02</x:v>
      </x:c>
      <x:c r="F180" t="str">
        <x:v>Sim</x:v>
      </x:c>
      <x:c r="G180" t="str">
        <x:v>Sim</x:v>
      </x:c>
      <x:c r="H180" t="str">
        <x:v>Sim</x:v>
      </x:c>
      <x:c r="I180" t="str">
        <x:v>Sim</x:v>
      </x:c>
      <x:c r="J180" t="n">
        <x:v>3</x:v>
      </x:c>
    </x:row>
    <x:row r="181">
      <x:c r="A181" t="str">
        <x:v>LEAD-000180</x:v>
      </x:c>
      <x:c r="B181" t="str">
        <x:v>IMV-0054</x:v>
      </x:c>
      <x:c r="C181" s="36" t="n">
        <x:v>46172</x:v>
      </x:c>
      <x:c r="D181" t="str">
        <x:v>Instagram</x:v>
      </x:c>
      <x:c r="E181" t="str">
        <x:v>Corretor 08</x:v>
      </x:c>
      <x:c r="F181" t="str">
        <x:v>Não</x:v>
      </x:c>
      <x:c r="G181" t="str">
        <x:v>Não</x:v>
      </x:c>
      <x:c r="H181" t="str">
        <x:v>Não</x:v>
      </x:c>
      <x:c r="I181" t="str">
        <x:v>Não</x:v>
      </x:c>
      <x:c r="J181" t="n">
        <x:v>8</x:v>
      </x:c>
    </x:row>
    <x:row r="182">
      <x:c r="A182" t="str">
        <x:v>LEAD-000181</x:v>
      </x:c>
      <x:c r="B182" t="str">
        <x:v>IMV-0054</x:v>
      </x:c>
      <x:c r="C182" s="36" t="n">
        <x:v>46063</x:v>
      </x:c>
      <x:c r="D182" t="str">
        <x:v>Instagram</x:v>
      </x:c>
      <x:c r="E182" t="str">
        <x:v>Corretor 04</x:v>
      </x:c>
      <x:c r="F182" t="str">
        <x:v>Sim</x:v>
      </x:c>
      <x:c r="G182" t="str">
        <x:v>Sim</x:v>
      </x:c>
      <x:c r="H182" t="str">
        <x:v>Sim</x:v>
      </x:c>
      <x:c r="I182" t="str">
        <x:v>Não</x:v>
      </x:c>
      <x:c r="J182" t="n">
        <x:v>2</x:v>
      </x:c>
    </x:row>
    <x:row r="183">
      <x:c r="A183" t="str">
        <x:v>LEAD-000182</x:v>
      </x:c>
      <x:c r="B183" t="str">
        <x:v>IMV-0054</x:v>
      </x:c>
      <x:c r="C183" s="36" t="n">
        <x:v>46234</x:v>
      </x:c>
      <x:c r="D183" t="str">
        <x:v>Portal B</x:v>
      </x:c>
      <x:c r="E183" t="str">
        <x:v>Corretor 02</x:v>
      </x:c>
      <x:c r="F183" t="str">
        <x:v>Não</x:v>
      </x:c>
      <x:c r="G183" t="str">
        <x:v>Não</x:v>
      </x:c>
      <x:c r="H183" t="str">
        <x:v>Não</x:v>
      </x:c>
      <x:c r="I183" t="str">
        <x:v>Não</x:v>
      </x:c>
      <x:c r="J183" t="n">
        <x:v>12</x:v>
      </x:c>
    </x:row>
    <x:row r="184">
      <x:c r="A184" t="str">
        <x:v>LEAD-000183</x:v>
      </x:c>
      <x:c r="B184" t="str">
        <x:v>IMV-0055</x:v>
      </x:c>
      <x:c r="C184" s="36" t="n">
        <x:v>46163</x:v>
      </x:c>
      <x:c r="D184" t="str">
        <x:v>Indicação</x:v>
      </x:c>
      <x:c r="E184" t="str">
        <x:v>Corretor 05</x:v>
      </x:c>
      <x:c r="F184" t="str">
        <x:v>Sim</x:v>
      </x:c>
      <x:c r="G184" t="str">
        <x:v>Sim</x:v>
      </x:c>
      <x:c r="H184" t="str">
        <x:v>Não</x:v>
      </x:c>
      <x:c r="I184" t="str">
        <x:v>Não</x:v>
      </x:c>
      <x:c r="J184" t="n">
        <x:v>0</x:v>
      </x:c>
    </x:row>
    <x:row r="185">
      <x:c r="A185" t="str">
        <x:v>LEAD-000184</x:v>
      </x:c>
      <x:c r="B185" t="str">
        <x:v>IMV-0055</x:v>
      </x:c>
      <x:c r="C185" s="36" t="n">
        <x:v>46081</x:v>
      </x:c>
      <x:c r="D185" t="str">
        <x:v>Site próprio</x:v>
      </x:c>
      <x:c r="E185" t="str">
        <x:v>Corretor 05</x:v>
      </x:c>
      <x:c r="F185" t="str">
        <x:v>Sim</x:v>
      </x:c>
      <x:c r="G185" t="str">
        <x:v>Não</x:v>
      </x:c>
      <x:c r="H185" t="str">
        <x:v>Não</x:v>
      </x:c>
      <x:c r="I185" t="str">
        <x:v>Não</x:v>
      </x:c>
      <x:c r="J185" t="n">
        <x:v>4</x:v>
      </x:c>
    </x:row>
    <x:row r="186">
      <x:c r="A186" t="str">
        <x:v>LEAD-000185</x:v>
      </x:c>
      <x:c r="B186" t="str">
        <x:v>IMV-0055</x:v>
      </x:c>
      <x:c r="C186" s="36" t="n">
        <x:v>46074</x:v>
      </x:c>
      <x:c r="D186" t="str">
        <x:v>Instagram</x:v>
      </x:c>
      <x:c r="E186" t="str">
        <x:v>Corretor 03</x:v>
      </x:c>
      <x:c r="F186" t="str">
        <x:v>Sim</x:v>
      </x:c>
      <x:c r="G186" t="str">
        <x:v>Não</x:v>
      </x:c>
      <x:c r="H186" t="str">
        <x:v>Não</x:v>
      </x:c>
      <x:c r="I186" t="str">
        <x:v>Não</x:v>
      </x:c>
      <x:c r="J186" t="n">
        <x:v>3</x:v>
      </x:c>
    </x:row>
    <x:row r="187">
      <x:c r="A187" t="str">
        <x:v>LEAD-000186</x:v>
      </x:c>
      <x:c r="B187" t="str">
        <x:v>IMV-0055</x:v>
      </x:c>
      <x:c r="C187" s="36" t="n">
        <x:v>46106</x:v>
      </x:c>
      <x:c r="D187" t="str">
        <x:v>Instagram</x:v>
      </x:c>
      <x:c r="E187" t="str">
        <x:v>Corretor 03</x:v>
      </x:c>
      <x:c r="F187" t="str">
        <x:v>Sim</x:v>
      </x:c>
      <x:c r="G187" t="str">
        <x:v>Não</x:v>
      </x:c>
      <x:c r="H187" t="str">
        <x:v>Não</x:v>
      </x:c>
      <x:c r="I187" t="str">
        <x:v>Não</x:v>
      </x:c>
      <x:c r="J187" t="n">
        <x:v>3</x:v>
      </x:c>
    </x:row>
    <x:row r="188">
      <x:c r="A188" t="str">
        <x:v>LEAD-000187</x:v>
      </x:c>
      <x:c r="B188" t="str">
        <x:v>IMV-0055</x:v>
      </x:c>
      <x:c r="C188" s="36" t="n">
        <x:v>46161</x:v>
      </x:c>
      <x:c r="D188" t="str">
        <x:v>Indicação</x:v>
      </x:c>
      <x:c r="E188" t="str">
        <x:v>Corretor 07</x:v>
      </x:c>
      <x:c r="F188" t="str">
        <x:v>Não</x:v>
      </x:c>
      <x:c r="G188" t="str">
        <x:v>Não</x:v>
      </x:c>
      <x:c r="H188" t="str">
        <x:v>Não</x:v>
      </x:c>
      <x:c r="I188" t="str">
        <x:v>Não</x:v>
      </x:c>
      <x:c r="J188" t="n">
        <x:v>12</x:v>
      </x:c>
    </x:row>
    <x:row r="189">
      <x:c r="A189" t="str">
        <x:v>LEAD-000188</x:v>
      </x:c>
      <x:c r="B189" t="str">
        <x:v>IMV-0056</x:v>
      </x:c>
      <x:c r="C189" s="36" t="n">
        <x:v>46191</x:v>
      </x:c>
      <x:c r="D189" t="str">
        <x:v>Site próprio</x:v>
      </x:c>
      <x:c r="E189" t="str">
        <x:v>Corretor 07</x:v>
      </x:c>
      <x:c r="F189" t="str">
        <x:v>Sim</x:v>
      </x:c>
      <x:c r="G189" t="str">
        <x:v>Sim</x:v>
      </x:c>
      <x:c r="H189" t="str">
        <x:v>Sim</x:v>
      </x:c>
      <x:c r="I189" t="str">
        <x:v>Não</x:v>
      </x:c>
      <x:c r="J189" t="n">
        <x:v>3</x:v>
      </x:c>
    </x:row>
    <x:row r="190">
      <x:c r="A190" t="str">
        <x:v>LEAD-000189</x:v>
      </x:c>
      <x:c r="B190" t="str">
        <x:v>IMV-0056</x:v>
      </x:c>
      <x:c r="C190" s="36" t="n">
        <x:v>46120</x:v>
      </x:c>
      <x:c r="D190" t="str">
        <x:v>Site próprio</x:v>
      </x:c>
      <x:c r="E190" t="str">
        <x:v>Corretor 01</x:v>
      </x:c>
      <x:c r="F190" t="str">
        <x:v>Sim</x:v>
      </x:c>
      <x:c r="G190" t="str">
        <x:v>Sim</x:v>
      </x:c>
      <x:c r="H190" t="str">
        <x:v>Sim</x:v>
      </x:c>
      <x:c r="I190" t="str">
        <x:v>Sim</x:v>
      </x:c>
      <x:c r="J190" t="n">
        <x:v>2</x:v>
      </x:c>
    </x:row>
    <x:row r="191">
      <x:c r="A191" t="str">
        <x:v>LEAD-000190</x:v>
      </x:c>
      <x:c r="B191" t="str">
        <x:v>IMV-0056</x:v>
      </x:c>
      <x:c r="C191" s="36" t="n">
        <x:v>46091</x:v>
      </x:c>
      <x:c r="D191" t="str">
        <x:v>Portal B</x:v>
      </x:c>
      <x:c r="E191" t="str">
        <x:v>Corretor 02</x:v>
      </x:c>
      <x:c r="F191" t="str">
        <x:v>Sim</x:v>
      </x:c>
      <x:c r="G191" t="str">
        <x:v>Não</x:v>
      </x:c>
      <x:c r="H191" t="str">
        <x:v>Não</x:v>
      </x:c>
      <x:c r="I191" t="str">
        <x:v>Não</x:v>
      </x:c>
      <x:c r="J191" t="n">
        <x:v>2</x:v>
      </x:c>
    </x:row>
    <x:row r="192">
      <x:c r="A192" t="str">
        <x:v>LEAD-000191</x:v>
      </x:c>
      <x:c r="B192" t="str">
        <x:v>IMV-0056</x:v>
      </x:c>
      <x:c r="C192" s="36" t="n">
        <x:v>46190</x:v>
      </x:c>
      <x:c r="D192" t="str">
        <x:v>Instagram</x:v>
      </x:c>
      <x:c r="E192" t="str">
        <x:v>Corretor 03</x:v>
      </x:c>
      <x:c r="F192" t="str">
        <x:v>Sim</x:v>
      </x:c>
      <x:c r="G192" t="str">
        <x:v>Não</x:v>
      </x:c>
      <x:c r="H192" t="str">
        <x:v>Não</x:v>
      </x:c>
      <x:c r="I192" t="str">
        <x:v>Não</x:v>
      </x:c>
      <x:c r="J192" t="n">
        <x:v>1</x:v>
      </x:c>
    </x:row>
    <x:row r="193">
      <x:c r="A193" t="str">
        <x:v>LEAD-000192</x:v>
      </x:c>
      <x:c r="B193" t="str">
        <x:v>IMV-0058</x:v>
      </x:c>
      <x:c r="C193" s="36" t="n">
        <x:v>46070</x:v>
      </x:c>
      <x:c r="D193" t="str">
        <x:v>Portal B</x:v>
      </x:c>
      <x:c r="E193" t="str">
        <x:v>Corretor 05</x:v>
      </x:c>
      <x:c r="F193" t="str">
        <x:v>Sim</x:v>
      </x:c>
      <x:c r="G193" t="str">
        <x:v>Não</x:v>
      </x:c>
      <x:c r="H193" t="str">
        <x:v>Não</x:v>
      </x:c>
      <x:c r="I193" t="str">
        <x:v>Não</x:v>
      </x:c>
      <x:c r="J193" t="n">
        <x:v>4</x:v>
      </x:c>
    </x:row>
    <x:row r="194">
      <x:c r="A194" t="str">
        <x:v>LEAD-000193</x:v>
      </x:c>
      <x:c r="B194" t="str">
        <x:v>IMV-0058</x:v>
      </x:c>
      <x:c r="C194" s="36" t="n">
        <x:v>46083</x:v>
      </x:c>
      <x:c r="D194" t="str">
        <x:v>Site próprio</x:v>
      </x:c>
      <x:c r="E194" t="str">
        <x:v>Corretor 08</x:v>
      </x:c>
      <x:c r="F194" t="str">
        <x:v>Não</x:v>
      </x:c>
      <x:c r="G194" t="str">
        <x:v>Não</x:v>
      </x:c>
      <x:c r="H194" t="str">
        <x:v>Não</x:v>
      </x:c>
      <x:c r="I194" t="str">
        <x:v>Não</x:v>
      </x:c>
      <x:c r="J194" t="n">
        <x:v>11</x:v>
      </x:c>
    </x:row>
    <x:row r="195">
      <x:c r="A195" t="str">
        <x:v>LEAD-000194</x:v>
      </x:c>
      <x:c r="B195" t="str">
        <x:v>IMV-0058</x:v>
      </x:c>
      <x:c r="C195" s="36" t="n">
        <x:v>46081</x:v>
      </x:c>
      <x:c r="D195" t="str">
        <x:v>Portal B</x:v>
      </x:c>
      <x:c r="E195" t="str">
        <x:v>Corretor 02</x:v>
      </x:c>
      <x:c r="F195" t="str">
        <x:v>Sim</x:v>
      </x:c>
      <x:c r="G195" t="str">
        <x:v>Não</x:v>
      </x:c>
      <x:c r="H195" t="str">
        <x:v>Não</x:v>
      </x:c>
      <x:c r="I195" t="str">
        <x:v>Não</x:v>
      </x:c>
      <x:c r="J195" t="n">
        <x:v>4</x:v>
      </x:c>
    </x:row>
    <x:row r="196">
      <x:c r="A196" t="str">
        <x:v>LEAD-000195</x:v>
      </x:c>
      <x:c r="B196" t="str">
        <x:v>IMV-0060</x:v>
      </x:c>
      <x:c r="C196" s="36" t="n">
        <x:v>46148</x:v>
      </x:c>
      <x:c r="D196" t="str">
        <x:v>Portal A</x:v>
      </x:c>
      <x:c r="E196" t="str">
        <x:v>Corretor 04</x:v>
      </x:c>
      <x:c r="F196" t="str">
        <x:v>Sim</x:v>
      </x:c>
      <x:c r="G196" t="str">
        <x:v>Não</x:v>
      </x:c>
      <x:c r="H196" t="str">
        <x:v>Não</x:v>
      </x:c>
      <x:c r="I196" t="str">
        <x:v>Não</x:v>
      </x:c>
      <x:c r="J196" t="n">
        <x:v>4</x:v>
      </x:c>
    </x:row>
    <x:row r="197">
      <x:c r="A197" t="str">
        <x:v>LEAD-000196</x:v>
      </x:c>
      <x:c r="B197" t="str">
        <x:v>IMV-0060</x:v>
      </x:c>
      <x:c r="C197" s="36" t="n">
        <x:v>46060</x:v>
      </x:c>
      <x:c r="D197" t="str">
        <x:v>Portal A</x:v>
      </x:c>
      <x:c r="E197" t="str">
        <x:v>Corretor 07</x:v>
      </x:c>
      <x:c r="F197" t="str">
        <x:v>Sim</x:v>
      </x:c>
      <x:c r="G197" t="str">
        <x:v>Não</x:v>
      </x:c>
      <x:c r="H197" t="str">
        <x:v>Não</x:v>
      </x:c>
      <x:c r="I197" t="str">
        <x:v>Não</x:v>
      </x:c>
      <x:c r="J197" t="n">
        <x:v>3</x:v>
      </x:c>
    </x:row>
    <x:row r="198">
      <x:c r="A198" t="str">
        <x:v>LEAD-000197</x:v>
      </x:c>
      <x:c r="B198" t="str">
        <x:v>IMV-0061</x:v>
      </x:c>
      <x:c r="C198" s="36" t="n">
        <x:v>46127</x:v>
      </x:c>
      <x:c r="D198" t="str">
        <x:v>Portal B</x:v>
      </x:c>
      <x:c r="E198" t="str">
        <x:v>Corretor 02</x:v>
      </x:c>
      <x:c r="F198" t="str">
        <x:v>Sim</x:v>
      </x:c>
      <x:c r="G198" t="str">
        <x:v>Não</x:v>
      </x:c>
      <x:c r="H198" t="str">
        <x:v>Não</x:v>
      </x:c>
      <x:c r="I198" t="str">
        <x:v>Não</x:v>
      </x:c>
      <x:c r="J198" t="n">
        <x:v>4</x:v>
      </x:c>
    </x:row>
    <x:row r="199">
      <x:c r="A199" t="str">
        <x:v>LEAD-000198</x:v>
      </x:c>
      <x:c r="B199" t="str">
        <x:v>IMV-0061</x:v>
      </x:c>
      <x:c r="C199" s="36" t="n">
        <x:v>46205</x:v>
      </x:c>
      <x:c r="D199" t="str">
        <x:v>Portal A</x:v>
      </x:c>
      <x:c r="E199" t="str">
        <x:v>Corretor 08</x:v>
      </x:c>
      <x:c r="F199" t="str">
        <x:v>Sim</x:v>
      </x:c>
      <x:c r="G199" t="str">
        <x:v>Não</x:v>
      </x:c>
      <x:c r="H199" t="str">
        <x:v>Não</x:v>
      </x:c>
      <x:c r="I199" t="str">
        <x:v>Não</x:v>
      </x:c>
      <x:c r="J199" t="n">
        <x:v>4</x:v>
      </x:c>
    </x:row>
    <x:row r="200">
      <x:c r="A200" t="str">
        <x:v>LEAD-000199</x:v>
      </x:c>
      <x:c r="B200" t="str">
        <x:v>IMV-0061</x:v>
      </x:c>
      <x:c r="C200" s="36" t="n">
        <x:v>46187</x:v>
      </x:c>
      <x:c r="D200" t="str">
        <x:v>Portal B</x:v>
      </x:c>
      <x:c r="E200" t="str">
        <x:v>Corretor 02</x:v>
      </x:c>
      <x:c r="F200" t="str">
        <x:v>Sim</x:v>
      </x:c>
      <x:c r="G200" t="str">
        <x:v>Não</x:v>
      </x:c>
      <x:c r="H200" t="str">
        <x:v>Não</x:v>
      </x:c>
      <x:c r="I200" t="str">
        <x:v>Não</x:v>
      </x:c>
      <x:c r="J200" t="n">
        <x:v>1</x:v>
      </x:c>
    </x:row>
    <x:row r="201">
      <x:c r="A201" t="str">
        <x:v>LEAD-000200</x:v>
      </x:c>
      <x:c r="B201" t="str">
        <x:v>IMV-0061</x:v>
      </x:c>
      <x:c r="C201" s="36" t="n">
        <x:v>46221</x:v>
      </x:c>
      <x:c r="D201" t="str">
        <x:v>Portal A</x:v>
      </x:c>
      <x:c r="E201" t="str">
        <x:v>Corretor 06</x:v>
      </x:c>
      <x:c r="F201" t="str">
        <x:v>Sim</x:v>
      </x:c>
      <x:c r="G201" t="str">
        <x:v>Não</x:v>
      </x:c>
      <x:c r="H201" t="str">
        <x:v>Não</x:v>
      </x:c>
      <x:c r="I201" t="str">
        <x:v>Não</x:v>
      </x:c>
      <x:c r="J201" t="n">
        <x:v>2</x:v>
      </x:c>
    </x:row>
    <x:row r="202">
      <x:c r="A202" t="str">
        <x:v>LEAD-000201</x:v>
      </x:c>
      <x:c r="B202" t="str">
        <x:v>IMV-0062</x:v>
      </x:c>
      <x:c r="C202" s="36" t="n">
        <x:v>46201</x:v>
      </x:c>
      <x:c r="D202" t="str">
        <x:v>Portal B</x:v>
      </x:c>
      <x:c r="E202" t="str">
        <x:v>Corretor 07</x:v>
      </x:c>
      <x:c r="F202" t="str">
        <x:v>Sim</x:v>
      </x:c>
      <x:c r="G202" t="str">
        <x:v>Não</x:v>
      </x:c>
      <x:c r="H202" t="str">
        <x:v>Não</x:v>
      </x:c>
      <x:c r="I202" t="str">
        <x:v>Não</x:v>
      </x:c>
      <x:c r="J202" t="n">
        <x:v>0</x:v>
      </x:c>
    </x:row>
    <x:row r="203">
      <x:c r="A203" t="str">
        <x:v>LEAD-000202</x:v>
      </x:c>
      <x:c r="B203" t="str">
        <x:v>IMV-0062</x:v>
      </x:c>
      <x:c r="C203" s="36" t="n">
        <x:v>46098</x:v>
      </x:c>
      <x:c r="D203" t="str">
        <x:v>Portal B</x:v>
      </x:c>
      <x:c r="E203" t="str">
        <x:v>Corretor 05</x:v>
      </x:c>
      <x:c r="F203" t="str">
        <x:v>Sim</x:v>
      </x:c>
      <x:c r="G203" t="str">
        <x:v>Não</x:v>
      </x:c>
      <x:c r="H203" t="str">
        <x:v>Não</x:v>
      </x:c>
      <x:c r="I203" t="str">
        <x:v>Não</x:v>
      </x:c>
      <x:c r="J203" t="n">
        <x:v>3</x:v>
      </x:c>
    </x:row>
    <x:row r="204">
      <x:c r="A204" t="str">
        <x:v>LEAD-000203</x:v>
      </x:c>
      <x:c r="B204" t="str">
        <x:v>IMV-0063</x:v>
      </x:c>
      <x:c r="C204" s="36" t="n">
        <x:v>46061</x:v>
      </x:c>
      <x:c r="D204" t="str">
        <x:v>Portal A</x:v>
      </x:c>
      <x:c r="E204" t="str">
        <x:v>Corretor 01</x:v>
      </x:c>
      <x:c r="F204" t="str">
        <x:v>Sim</x:v>
      </x:c>
      <x:c r="G204" t="str">
        <x:v>Não</x:v>
      </x:c>
      <x:c r="H204" t="str">
        <x:v>Não</x:v>
      </x:c>
      <x:c r="I204" t="str">
        <x:v>Não</x:v>
      </x:c>
      <x:c r="J204" t="n">
        <x:v>1</x:v>
      </x:c>
    </x:row>
    <x:row r="205">
      <x:c r="A205" t="str">
        <x:v>LEAD-000204</x:v>
      </x:c>
      <x:c r="B205" t="str">
        <x:v>IMV-0063</x:v>
      </x:c>
      <x:c r="C205" s="36" t="n">
        <x:v>46223</x:v>
      </x:c>
      <x:c r="D205" t="str">
        <x:v>Site próprio</x:v>
      </x:c>
      <x:c r="E205" t="str">
        <x:v>Corretor 01</x:v>
      </x:c>
      <x:c r="F205" t="str">
        <x:v>Sim</x:v>
      </x:c>
      <x:c r="G205" t="str">
        <x:v>Não</x:v>
      </x:c>
      <x:c r="H205" t="str">
        <x:v>Não</x:v>
      </x:c>
      <x:c r="I205" t="str">
        <x:v>Não</x:v>
      </x:c>
      <x:c r="J205" t="n">
        <x:v>1</x:v>
      </x:c>
    </x:row>
    <x:row r="206">
      <x:c r="A206" t="str">
        <x:v>LEAD-000205</x:v>
      </x:c>
      <x:c r="B206" t="str">
        <x:v>IMV-0063</x:v>
      </x:c>
      <x:c r="C206" s="36" t="n">
        <x:v>46202</x:v>
      </x:c>
      <x:c r="D206" t="str">
        <x:v>Portal A</x:v>
      </x:c>
      <x:c r="E206" t="str">
        <x:v>Corretor 01</x:v>
      </x:c>
      <x:c r="F206" t="str">
        <x:v>Não</x:v>
      </x:c>
      <x:c r="G206" t="str">
        <x:v>Não</x:v>
      </x:c>
      <x:c r="H206" t="str">
        <x:v>Não</x:v>
      </x:c>
      <x:c r="I206" t="str">
        <x:v>Não</x:v>
      </x:c>
      <x:c r="J206" t="n">
        <x:v>13</x:v>
      </x:c>
    </x:row>
    <x:row r="207">
      <x:c r="A207" t="str">
        <x:v>LEAD-000206</x:v>
      </x:c>
      <x:c r="B207" t="str">
        <x:v>IMV-0063</x:v>
      </x:c>
      <x:c r="C207" s="36" t="n">
        <x:v>46069</x:v>
      </x:c>
      <x:c r="D207" t="str">
        <x:v>Portal A</x:v>
      </x:c>
      <x:c r="E207" t="str">
        <x:v>Corretor 01</x:v>
      </x:c>
      <x:c r="F207" t="str">
        <x:v>Sim</x:v>
      </x:c>
      <x:c r="G207" t="str">
        <x:v>Não</x:v>
      </x:c>
      <x:c r="H207" t="str">
        <x:v>Não</x:v>
      </x:c>
      <x:c r="I207" t="str">
        <x:v>Não</x:v>
      </x:c>
      <x:c r="J207" t="n">
        <x:v>3</x:v>
      </x:c>
    </x:row>
    <x:row r="208">
      <x:c r="A208" t="str">
        <x:v>LEAD-000207</x:v>
      </x:c>
      <x:c r="B208" t="str">
        <x:v>IMV-0063</x:v>
      </x:c>
      <x:c r="C208" s="36" t="n">
        <x:v>46109</x:v>
      </x:c>
      <x:c r="D208" t="str">
        <x:v>Portal B</x:v>
      </x:c>
      <x:c r="E208" t="str">
        <x:v>Corretor 04</x:v>
      </x:c>
      <x:c r="F208" t="str">
        <x:v>Não</x:v>
      </x:c>
      <x:c r="G208" t="str">
        <x:v>Não</x:v>
      </x:c>
      <x:c r="H208" t="str">
        <x:v>Não</x:v>
      </x:c>
      <x:c r="I208" t="str">
        <x:v>Não</x:v>
      </x:c>
      <x:c r="J208" t="n">
        <x:v>13</x:v>
      </x:c>
    </x:row>
    <x:row r="209">
      <x:c r="A209" t="str">
        <x:v>LEAD-000208</x:v>
      </x:c>
      <x:c r="B209" t="str">
        <x:v>IMV-0064</x:v>
      </x:c>
      <x:c r="C209" s="36" t="n">
        <x:v>46202</x:v>
      </x:c>
      <x:c r="D209" t="str">
        <x:v>Portal B</x:v>
      </x:c>
      <x:c r="E209" t="str">
        <x:v>Corretor 01</x:v>
      </x:c>
      <x:c r="F209" t="str">
        <x:v>Sim</x:v>
      </x:c>
      <x:c r="G209" t="str">
        <x:v>Não</x:v>
      </x:c>
      <x:c r="H209" t="str">
        <x:v>Não</x:v>
      </x:c>
      <x:c r="I209" t="str">
        <x:v>Não</x:v>
      </x:c>
      <x:c r="J209" t="n">
        <x:v>1</x:v>
      </x:c>
    </x:row>
    <x:row r="210">
      <x:c r="A210" t="str">
        <x:v>LEAD-000209</x:v>
      </x:c>
      <x:c r="B210" t="str">
        <x:v>IMV-0064</x:v>
      </x:c>
      <x:c r="C210" s="36" t="n">
        <x:v>46160</x:v>
      </x:c>
      <x:c r="D210" t="str">
        <x:v>Instagram</x:v>
      </x:c>
      <x:c r="E210" t="str">
        <x:v>Corretor 06</x:v>
      </x:c>
      <x:c r="F210" t="str">
        <x:v>Sim</x:v>
      </x:c>
      <x:c r="G210" t="str">
        <x:v>Não</x:v>
      </x:c>
      <x:c r="H210" t="str">
        <x:v>Não</x:v>
      </x:c>
      <x:c r="I210" t="str">
        <x:v>Não</x:v>
      </x:c>
      <x:c r="J210" t="n">
        <x:v>0</x:v>
      </x:c>
    </x:row>
    <x:row r="211">
      <x:c r="A211" t="str">
        <x:v>LEAD-000210</x:v>
      </x:c>
      <x:c r="B211" t="str">
        <x:v>IMV-0064</x:v>
      </x:c>
      <x:c r="C211" s="36" t="n">
        <x:v>46072</x:v>
      </x:c>
      <x:c r="D211" t="str">
        <x:v>Site próprio</x:v>
      </x:c>
      <x:c r="E211" t="str">
        <x:v>Corretor 08</x:v>
      </x:c>
      <x:c r="F211" t="str">
        <x:v>Não</x:v>
      </x:c>
      <x:c r="G211" t="str">
        <x:v>Não</x:v>
      </x:c>
      <x:c r="H211" t="str">
        <x:v>Não</x:v>
      </x:c>
      <x:c r="I211" t="str">
        <x:v>Não</x:v>
      </x:c>
      <x:c r="J211" t="n">
        <x:v>7</x:v>
      </x:c>
    </x:row>
    <x:row r="212">
      <x:c r="A212" t="str">
        <x:v>LEAD-000211</x:v>
      </x:c>
      <x:c r="B212" t="str">
        <x:v>IMV-0064</x:v>
      </x:c>
      <x:c r="C212" s="36" t="n">
        <x:v>46072</x:v>
      </x:c>
      <x:c r="D212" t="str">
        <x:v>Indicação</x:v>
      </x:c>
      <x:c r="E212" t="str">
        <x:v>Corretor 02</x:v>
      </x:c>
      <x:c r="F212" t="str">
        <x:v>Sim</x:v>
      </x:c>
      <x:c r="G212" t="str">
        <x:v>Não</x:v>
      </x:c>
      <x:c r="H212" t="str">
        <x:v>Não</x:v>
      </x:c>
      <x:c r="I212" t="str">
        <x:v>Não</x:v>
      </x:c>
      <x:c r="J212" t="n">
        <x:v>0</x:v>
      </x:c>
    </x:row>
    <x:row r="213">
      <x:c r="A213" t="str">
        <x:v>LEAD-000212</x:v>
      </x:c>
      <x:c r="B213" t="str">
        <x:v>IMV-0064</x:v>
      </x:c>
      <x:c r="C213" s="36" t="n">
        <x:v>46061</x:v>
      </x:c>
      <x:c r="D213" t="str">
        <x:v>Portal B</x:v>
      </x:c>
      <x:c r="E213" t="str">
        <x:v>Corretor 07</x:v>
      </x:c>
      <x:c r="F213" t="str">
        <x:v>Sim</x:v>
      </x:c>
      <x:c r="G213" t="str">
        <x:v>Sim</x:v>
      </x:c>
      <x:c r="H213" t="str">
        <x:v>Não</x:v>
      </x:c>
      <x:c r="I213" t="str">
        <x:v>Não</x:v>
      </x:c>
      <x:c r="J213" t="n">
        <x:v>3</x:v>
      </x:c>
    </x:row>
    <x:row r="214">
      <x:c r="A214" t="str">
        <x:v>LEAD-000213</x:v>
      </x:c>
      <x:c r="B214" t="str">
        <x:v>IMV-0065</x:v>
      </x:c>
      <x:c r="C214" s="36" t="n">
        <x:v>46118</x:v>
      </x:c>
      <x:c r="D214" t="str">
        <x:v>Portal B</x:v>
      </x:c>
      <x:c r="E214" t="str">
        <x:v>Corretor 06</x:v>
      </x:c>
      <x:c r="F214" t="str">
        <x:v>Não</x:v>
      </x:c>
      <x:c r="G214" t="str">
        <x:v>Não</x:v>
      </x:c>
      <x:c r="H214" t="str">
        <x:v>Não</x:v>
      </x:c>
      <x:c r="I214" t="str">
        <x:v>Não</x:v>
      </x:c>
      <x:c r="J214" t="n">
        <x:v>10</x:v>
      </x:c>
    </x:row>
    <x:row r="215">
      <x:c r="A215" t="str">
        <x:v>LEAD-000214</x:v>
      </x:c>
      <x:c r="B215" t="str">
        <x:v>IMV-0065</x:v>
      </x:c>
      <x:c r="C215" s="36" t="n">
        <x:v>46073</x:v>
      </x:c>
      <x:c r="D215" t="str">
        <x:v>Portal A</x:v>
      </x:c>
      <x:c r="E215" t="str">
        <x:v>Corretor 08</x:v>
      </x:c>
      <x:c r="F215" t="str">
        <x:v>Sim</x:v>
      </x:c>
      <x:c r="G215" t="str">
        <x:v>Não</x:v>
      </x:c>
      <x:c r="H215" t="str">
        <x:v>Não</x:v>
      </x:c>
      <x:c r="I215" t="str">
        <x:v>Não</x:v>
      </x:c>
      <x:c r="J215" t="n">
        <x:v>2</x:v>
      </x:c>
    </x:row>
    <x:row r="216">
      <x:c r="A216" t="str">
        <x:v>LEAD-000215</x:v>
      </x:c>
      <x:c r="B216" t="str">
        <x:v>IMV-0066</x:v>
      </x:c>
      <x:c r="C216" s="36" t="n">
        <x:v>46164</x:v>
      </x:c>
      <x:c r="D216" t="str">
        <x:v>Portal A</x:v>
      </x:c>
      <x:c r="E216" t="str">
        <x:v>Corretor 05</x:v>
      </x:c>
      <x:c r="F216" t="str">
        <x:v>Sim</x:v>
      </x:c>
      <x:c r="G216" t="str">
        <x:v>Não</x:v>
      </x:c>
      <x:c r="H216" t="str">
        <x:v>Não</x:v>
      </x:c>
      <x:c r="I216" t="str">
        <x:v>Não</x:v>
      </x:c>
      <x:c r="J216" t="n">
        <x:v>2</x:v>
      </x:c>
    </x:row>
    <x:row r="217">
      <x:c r="A217" t="str">
        <x:v>LEAD-000216</x:v>
      </x:c>
      <x:c r="B217" t="str">
        <x:v>IMV-0066</x:v>
      </x:c>
      <x:c r="C217" s="36" t="n">
        <x:v>46094</x:v>
      </x:c>
      <x:c r="D217" t="str">
        <x:v>Portal A</x:v>
      </x:c>
      <x:c r="E217" t="str">
        <x:v>Corretor 07</x:v>
      </x:c>
      <x:c r="F217" t="str">
        <x:v>Sim</x:v>
      </x:c>
      <x:c r="G217" t="str">
        <x:v>Não</x:v>
      </x:c>
      <x:c r="H217" t="str">
        <x:v>Não</x:v>
      </x:c>
      <x:c r="I217" t="str">
        <x:v>Não</x:v>
      </x:c>
      <x:c r="J217" t="n">
        <x:v>1</x:v>
      </x:c>
    </x:row>
    <x:row r="218">
      <x:c r="A218" t="str">
        <x:v>LEAD-000217</x:v>
      </x:c>
      <x:c r="B218" t="str">
        <x:v>IMV-0066</x:v>
      </x:c>
      <x:c r="C218" s="36" t="n">
        <x:v>46215</x:v>
      </x:c>
      <x:c r="D218" t="str">
        <x:v>Indicação</x:v>
      </x:c>
      <x:c r="E218" t="str">
        <x:v>Corretor 07</x:v>
      </x:c>
      <x:c r="F218" t="str">
        <x:v>Sim</x:v>
      </x:c>
      <x:c r="G218" t="str">
        <x:v>Não</x:v>
      </x:c>
      <x:c r="H218" t="str">
        <x:v>Não</x:v>
      </x:c>
      <x:c r="I218" t="str">
        <x:v>Não</x:v>
      </x:c>
      <x:c r="J218" t="n">
        <x:v>1</x:v>
      </x:c>
    </x:row>
    <x:row r="219">
      <x:c r="A219" t="str">
        <x:v>LEAD-000218</x:v>
      </x:c>
      <x:c r="B219" t="str">
        <x:v>IMV-0066</x:v>
      </x:c>
      <x:c r="C219" s="36" t="n">
        <x:v>46080</x:v>
      </x:c>
      <x:c r="D219" t="str">
        <x:v>Portal A</x:v>
      </x:c>
      <x:c r="E219" t="str">
        <x:v>Corretor 05</x:v>
      </x:c>
      <x:c r="F219" t="str">
        <x:v>Não</x:v>
      </x:c>
      <x:c r="G219" t="str">
        <x:v>Não</x:v>
      </x:c>
      <x:c r="H219" t="str">
        <x:v>Não</x:v>
      </x:c>
      <x:c r="I219" t="str">
        <x:v>Não</x:v>
      </x:c>
      <x:c r="J219" t="n">
        <x:v>9</x:v>
      </x:c>
    </x:row>
    <x:row r="220">
      <x:c r="A220" t="str">
        <x:v>LEAD-000219</x:v>
      </x:c>
      <x:c r="B220" t="str">
        <x:v>IMV-0066</x:v>
      </x:c>
      <x:c r="C220" s="36" t="n">
        <x:v>46140</x:v>
      </x:c>
      <x:c r="D220" t="str">
        <x:v>Indicação</x:v>
      </x:c>
      <x:c r="E220" t="str">
        <x:v>Corretor 01</x:v>
      </x:c>
      <x:c r="F220" t="str">
        <x:v>Sim</x:v>
      </x:c>
      <x:c r="G220" t="str">
        <x:v>Não</x:v>
      </x:c>
      <x:c r="H220" t="str">
        <x:v>Não</x:v>
      </x:c>
      <x:c r="I220" t="str">
        <x:v>Não</x:v>
      </x:c>
      <x:c r="J220" t="n">
        <x:v>0</x:v>
      </x:c>
    </x:row>
    <x:row r="221">
      <x:c r="A221" t="str">
        <x:v>LEAD-000220</x:v>
      </x:c>
      <x:c r="B221" t="str">
        <x:v>IMV-0067</x:v>
      </x:c>
      <x:c r="C221" s="36" t="n">
        <x:v>46228</x:v>
      </x:c>
      <x:c r="D221" t="str">
        <x:v>Site próprio</x:v>
      </x:c>
      <x:c r="E221" t="str">
        <x:v>Corretor 02</x:v>
      </x:c>
      <x:c r="F221" t="str">
        <x:v>Sim</x:v>
      </x:c>
      <x:c r="G221" t="str">
        <x:v>Não</x:v>
      </x:c>
      <x:c r="H221" t="str">
        <x:v>Não</x:v>
      </x:c>
      <x:c r="I221" t="str">
        <x:v>Não</x:v>
      </x:c>
      <x:c r="J221" t="n">
        <x:v>2</x:v>
      </x:c>
    </x:row>
    <x:row r="222">
      <x:c r="A222" t="str">
        <x:v>LEAD-000221</x:v>
      </x:c>
      <x:c r="B222" t="str">
        <x:v>IMV-0067</x:v>
      </x:c>
      <x:c r="C222" s="36" t="n">
        <x:v>46143</x:v>
      </x:c>
      <x:c r="D222" t="str">
        <x:v>Portal A</x:v>
      </x:c>
      <x:c r="E222" t="str">
        <x:v>Corretor 08</x:v>
      </x:c>
      <x:c r="F222" t="str">
        <x:v>Sim</x:v>
      </x:c>
      <x:c r="G222" t="str">
        <x:v>Não</x:v>
      </x:c>
      <x:c r="H222" t="str">
        <x:v>Não</x:v>
      </x:c>
      <x:c r="I222" t="str">
        <x:v>Não</x:v>
      </x:c>
      <x:c r="J222" t="n">
        <x:v>0</x:v>
      </x:c>
    </x:row>
    <x:row r="223">
      <x:c r="A223" t="str">
        <x:v>LEAD-000222</x:v>
      </x:c>
      <x:c r="B223" t="str">
        <x:v>IMV-0067</x:v>
      </x:c>
      <x:c r="C223" s="36" t="n">
        <x:v>46165</x:v>
      </x:c>
      <x:c r="D223" t="str">
        <x:v>Instagram</x:v>
      </x:c>
      <x:c r="E223" t="str">
        <x:v>Corretor 04</x:v>
      </x:c>
      <x:c r="F223" t="str">
        <x:v>Sim</x:v>
      </x:c>
      <x:c r="G223" t="str">
        <x:v>Não</x:v>
      </x:c>
      <x:c r="H223" t="str">
        <x:v>Não</x:v>
      </x:c>
      <x:c r="I223" t="str">
        <x:v>Não</x:v>
      </x:c>
      <x:c r="J223" t="n">
        <x:v>2</x:v>
      </x:c>
    </x:row>
    <x:row r="224">
      <x:c r="A224" t="str">
        <x:v>LEAD-000223</x:v>
      </x:c>
      <x:c r="B224" t="str">
        <x:v>IMV-0067</x:v>
      </x:c>
      <x:c r="C224" s="36" t="n">
        <x:v>46218</x:v>
      </x:c>
      <x:c r="D224" t="str">
        <x:v>Indicação</x:v>
      </x:c>
      <x:c r="E224" t="str">
        <x:v>Corretor 01</x:v>
      </x:c>
      <x:c r="F224" t="str">
        <x:v>Sim</x:v>
      </x:c>
      <x:c r="G224" t="str">
        <x:v>Não</x:v>
      </x:c>
      <x:c r="H224" t="str">
        <x:v>Não</x:v>
      </x:c>
      <x:c r="I224" t="str">
        <x:v>Não</x:v>
      </x:c>
      <x:c r="J224" t="n">
        <x:v>2</x:v>
      </x:c>
    </x:row>
    <x:row r="225">
      <x:c r="A225" t="str">
        <x:v>LEAD-000224</x:v>
      </x:c>
      <x:c r="B225" t="str">
        <x:v>IMV-0069</x:v>
      </x:c>
      <x:c r="C225" s="36" t="n">
        <x:v>46096</x:v>
      </x:c>
      <x:c r="D225" t="str">
        <x:v>Portal A</x:v>
      </x:c>
      <x:c r="E225" t="str">
        <x:v>Corretor 04</x:v>
      </x:c>
      <x:c r="F225" t="str">
        <x:v>Sim</x:v>
      </x:c>
      <x:c r="G225" t="str">
        <x:v>Não</x:v>
      </x:c>
      <x:c r="H225" t="str">
        <x:v>Não</x:v>
      </x:c>
      <x:c r="I225" t="str">
        <x:v>Não</x:v>
      </x:c>
      <x:c r="J225" t="n">
        <x:v>1</x:v>
      </x:c>
    </x:row>
    <x:row r="226">
      <x:c r="A226" t="str">
        <x:v>LEAD-000225</x:v>
      </x:c>
      <x:c r="B226" t="str">
        <x:v>IMV-0069</x:v>
      </x:c>
      <x:c r="C226" s="36" t="n">
        <x:v>46064</x:v>
      </x:c>
      <x:c r="D226" t="str">
        <x:v>Instagram</x:v>
      </x:c>
      <x:c r="E226" t="str">
        <x:v>Corretor 01</x:v>
      </x:c>
      <x:c r="F226" t="str">
        <x:v>Sim</x:v>
      </x:c>
      <x:c r="G226" t="str">
        <x:v>Não</x:v>
      </x:c>
      <x:c r="H226" t="str">
        <x:v>Não</x:v>
      </x:c>
      <x:c r="I226" t="str">
        <x:v>Não</x:v>
      </x:c>
      <x:c r="J226" t="n">
        <x:v>0</x:v>
      </x:c>
    </x:row>
    <x:row r="227">
      <x:c r="A227" t="str">
        <x:v>LEAD-000226</x:v>
      </x:c>
      <x:c r="B227" t="str">
        <x:v>IMV-0069</x:v>
      </x:c>
      <x:c r="C227" s="36" t="n">
        <x:v>46111</x:v>
      </x:c>
      <x:c r="D227" t="str">
        <x:v>Indicação</x:v>
      </x:c>
      <x:c r="E227" t="str">
        <x:v>Corretor 03</x:v>
      </x:c>
      <x:c r="F227" t="str">
        <x:v>Sim</x:v>
      </x:c>
      <x:c r="G227" t="str">
        <x:v>Não</x:v>
      </x:c>
      <x:c r="H227" t="str">
        <x:v>Não</x:v>
      </x:c>
      <x:c r="I227" t="str">
        <x:v>Não</x:v>
      </x:c>
      <x:c r="J227" t="n">
        <x:v>2</x:v>
      </x:c>
    </x:row>
    <x:row r="228">
      <x:c r="A228" t="str">
        <x:v>LEAD-000227</x:v>
      </x:c>
      <x:c r="B228" t="str">
        <x:v>IMV-0069</x:v>
      </x:c>
      <x:c r="C228" s="36" t="n">
        <x:v>46062</x:v>
      </x:c>
      <x:c r="D228" t="str">
        <x:v>Portal A</x:v>
      </x:c>
      <x:c r="E228" t="str">
        <x:v>Corretor 01</x:v>
      </x:c>
      <x:c r="F228" t="str">
        <x:v>Sim</x:v>
      </x:c>
      <x:c r="G228" t="str">
        <x:v>Não</x:v>
      </x:c>
      <x:c r="H228" t="str">
        <x:v>Não</x:v>
      </x:c>
      <x:c r="I228" t="str">
        <x:v>Não</x:v>
      </x:c>
      <x:c r="J228" t="n">
        <x:v>1</x:v>
      </x:c>
    </x:row>
    <x:row r="229">
      <x:c r="A229" t="str">
        <x:v>LEAD-000228</x:v>
      </x:c>
      <x:c r="B229" t="str">
        <x:v>IMV-0069</x:v>
      </x:c>
      <x:c r="C229" s="36" t="n">
        <x:v>46060</x:v>
      </x:c>
      <x:c r="D229" t="str">
        <x:v>Portal A</x:v>
      </x:c>
      <x:c r="E229" t="str">
        <x:v>Corretor 07</x:v>
      </x:c>
      <x:c r="F229" t="str">
        <x:v>Não</x:v>
      </x:c>
      <x:c r="G229" t="str">
        <x:v>Não</x:v>
      </x:c>
      <x:c r="H229" t="str">
        <x:v>Não</x:v>
      </x:c>
      <x:c r="I229" t="str">
        <x:v>Não</x:v>
      </x:c>
      <x:c r="J229" t="n">
        <x:v>10</x:v>
      </x:c>
    </x:row>
    <x:row r="230">
      <x:c r="A230" t="str">
        <x:v>LEAD-000229</x:v>
      </x:c>
      <x:c r="B230" t="str">
        <x:v>IMV-0070</x:v>
      </x:c>
      <x:c r="C230" s="36" t="n">
        <x:v>46078</x:v>
      </x:c>
      <x:c r="D230" t="str">
        <x:v>Instagram</x:v>
      </x:c>
      <x:c r="E230" t="str">
        <x:v>Corretor 07</x:v>
      </x:c>
      <x:c r="F230" t="str">
        <x:v>Não</x:v>
      </x:c>
      <x:c r="G230" t="str">
        <x:v>Não</x:v>
      </x:c>
      <x:c r="H230" t="str">
        <x:v>Não</x:v>
      </x:c>
      <x:c r="I230" t="str">
        <x:v>Não</x:v>
      </x:c>
      <x:c r="J230" t="n">
        <x:v>12</x:v>
      </x:c>
    </x:row>
    <x:row r="231">
      <x:c r="A231" t="str">
        <x:v>LEAD-000230</x:v>
      </x:c>
      <x:c r="B231" t="str">
        <x:v>IMV-0070</x:v>
      </x:c>
      <x:c r="C231" s="36" t="n">
        <x:v>46171</x:v>
      </x:c>
      <x:c r="D231" t="str">
        <x:v>Portal A</x:v>
      </x:c>
      <x:c r="E231" t="str">
        <x:v>Corretor 01</x:v>
      </x:c>
      <x:c r="F231" t="str">
        <x:v>Não</x:v>
      </x:c>
      <x:c r="G231" t="str">
        <x:v>Não</x:v>
      </x:c>
      <x:c r="H231" t="str">
        <x:v>Não</x:v>
      </x:c>
      <x:c r="I231" t="str">
        <x:v>Não</x:v>
      </x:c>
      <x:c r="J231" t="n">
        <x:v>10</x:v>
      </x:c>
    </x:row>
    <x:row r="232">
      <x:c r="A232" t="str">
        <x:v>LEAD-000231</x:v>
      </x:c>
      <x:c r="B232" t="str">
        <x:v>IMV-0070</x:v>
      </x:c>
      <x:c r="C232" s="36" t="n">
        <x:v>46083</x:v>
      </x:c>
      <x:c r="D232" t="str">
        <x:v>Instagram</x:v>
      </x:c>
      <x:c r="E232" t="str">
        <x:v>Corretor 02</x:v>
      </x:c>
      <x:c r="F232" t="str">
        <x:v>Não</x:v>
      </x:c>
      <x:c r="G232" t="str">
        <x:v>Não</x:v>
      </x:c>
      <x:c r="H232" t="str">
        <x:v>Não</x:v>
      </x:c>
      <x:c r="I232" t="str">
        <x:v>Não</x:v>
      </x:c>
      <x:c r="J232" t="n">
        <x:v>8</x:v>
      </x:c>
    </x:row>
    <x:row r="233">
      <x:c r="A233" t="str">
        <x:v>LEAD-000232</x:v>
      </x:c>
      <x:c r="B233" t="str">
        <x:v>IMV-0071</x:v>
      </x:c>
      <x:c r="C233" s="36" t="n">
        <x:v>46190</x:v>
      </x:c>
      <x:c r="D233" t="str">
        <x:v>Instagram</x:v>
      </x:c>
      <x:c r="E233" t="str">
        <x:v>Corretor 04</x:v>
      </x:c>
      <x:c r="F233" t="str">
        <x:v>Sim</x:v>
      </x:c>
      <x:c r="G233" t="str">
        <x:v>Não</x:v>
      </x:c>
      <x:c r="H233" t="str">
        <x:v>Não</x:v>
      </x:c>
      <x:c r="I233" t="str">
        <x:v>Não</x:v>
      </x:c>
      <x:c r="J233" t="n">
        <x:v>0</x:v>
      </x:c>
    </x:row>
    <x:row r="234">
      <x:c r="A234" t="str">
        <x:v>LEAD-000233</x:v>
      </x:c>
      <x:c r="B234" t="str">
        <x:v>IMV-0072</x:v>
      </x:c>
      <x:c r="C234" s="36" t="n">
        <x:v>46066</x:v>
      </x:c>
      <x:c r="D234" t="str">
        <x:v>Instagram</x:v>
      </x:c>
      <x:c r="E234" t="str">
        <x:v>Corretor 06</x:v>
      </x:c>
      <x:c r="F234" t="str">
        <x:v>Não</x:v>
      </x:c>
      <x:c r="G234" t="str">
        <x:v>Não</x:v>
      </x:c>
      <x:c r="H234" t="str">
        <x:v>Não</x:v>
      </x:c>
      <x:c r="I234" t="str">
        <x:v>Não</x:v>
      </x:c>
      <x:c r="J234" t="n">
        <x:v>7</x:v>
      </x:c>
    </x:row>
    <x:row r="235">
      <x:c r="A235" t="str">
        <x:v>LEAD-000234</x:v>
      </x:c>
      <x:c r="B235" t="str">
        <x:v>IMV-0072</x:v>
      </x:c>
      <x:c r="C235" s="36" t="n">
        <x:v>46210</x:v>
      </x:c>
      <x:c r="D235" t="str">
        <x:v>Portal B</x:v>
      </x:c>
      <x:c r="E235" t="str">
        <x:v>Corretor 08</x:v>
      </x:c>
      <x:c r="F235" t="str">
        <x:v>Não</x:v>
      </x:c>
      <x:c r="G235" t="str">
        <x:v>Não</x:v>
      </x:c>
      <x:c r="H235" t="str">
        <x:v>Não</x:v>
      </x:c>
      <x:c r="I235" t="str">
        <x:v>Não</x:v>
      </x:c>
      <x:c r="J235" t="n">
        <x:v>5</x:v>
      </x:c>
    </x:row>
    <x:row r="236">
      <x:c r="A236" t="str">
        <x:v>LEAD-000235</x:v>
      </x:c>
      <x:c r="B236" t="str">
        <x:v>IMV-0073</x:v>
      </x:c>
      <x:c r="C236" s="36" t="n">
        <x:v>46090</x:v>
      </x:c>
      <x:c r="D236" t="str">
        <x:v>Indicação</x:v>
      </x:c>
      <x:c r="E236" t="str">
        <x:v>Corretor 05</x:v>
      </x:c>
      <x:c r="F236" t="str">
        <x:v>Sim</x:v>
      </x:c>
      <x:c r="G236" t="str">
        <x:v>Não</x:v>
      </x:c>
      <x:c r="H236" t="str">
        <x:v>Não</x:v>
      </x:c>
      <x:c r="I236" t="str">
        <x:v>Não</x:v>
      </x:c>
      <x:c r="J236" t="n">
        <x:v>3</x:v>
      </x:c>
    </x:row>
    <x:row r="237">
      <x:c r="A237" t="str">
        <x:v>LEAD-000236</x:v>
      </x:c>
      <x:c r="B237" t="str">
        <x:v>IMV-0073</x:v>
      </x:c>
      <x:c r="C237" s="36" t="n">
        <x:v>46081</x:v>
      </x:c>
      <x:c r="D237" t="str">
        <x:v>Instagram</x:v>
      </x:c>
      <x:c r="E237" t="str">
        <x:v>Corretor 08</x:v>
      </x:c>
      <x:c r="F237" t="str">
        <x:v>Sim</x:v>
      </x:c>
      <x:c r="G237" t="str">
        <x:v>Sim</x:v>
      </x:c>
      <x:c r="H237" t="str">
        <x:v>Não</x:v>
      </x:c>
      <x:c r="I237" t="str">
        <x:v>Não</x:v>
      </x:c>
      <x:c r="J237" t="n">
        <x:v>2</x:v>
      </x:c>
    </x:row>
    <x:row r="238">
      <x:c r="A238" t="str">
        <x:v>LEAD-000237</x:v>
      </x:c>
      <x:c r="B238" t="str">
        <x:v>IMV-0073</x:v>
      </x:c>
      <x:c r="C238" s="36" t="n">
        <x:v>46111</x:v>
      </x:c>
      <x:c r="D238" t="str">
        <x:v>Indicação</x:v>
      </x:c>
      <x:c r="E238" t="str">
        <x:v>Corretor 08</x:v>
      </x:c>
      <x:c r="F238" t="str">
        <x:v>Não</x:v>
      </x:c>
      <x:c r="G238" t="str">
        <x:v>Não</x:v>
      </x:c>
      <x:c r="H238" t="str">
        <x:v>Não</x:v>
      </x:c>
      <x:c r="I238" t="str">
        <x:v>Não</x:v>
      </x:c>
      <x:c r="J238" t="n">
        <x:v>13</x:v>
      </x:c>
    </x:row>
    <x:row r="239">
      <x:c r="A239" t="str">
        <x:v>LEAD-000238</x:v>
      </x:c>
      <x:c r="B239" t="str">
        <x:v>IMV-0073</x:v>
      </x:c>
      <x:c r="C239" s="36" t="n">
        <x:v>46072</x:v>
      </x:c>
      <x:c r="D239" t="str">
        <x:v>Indicação</x:v>
      </x:c>
      <x:c r="E239" t="str">
        <x:v>Corretor 08</x:v>
      </x:c>
      <x:c r="F239" t="str">
        <x:v>Sim</x:v>
      </x:c>
      <x:c r="G239" t="str">
        <x:v>Não</x:v>
      </x:c>
      <x:c r="H239" t="str">
        <x:v>Não</x:v>
      </x:c>
      <x:c r="I239" t="str">
        <x:v>Não</x:v>
      </x:c>
      <x:c r="J239" t="n">
        <x:v>2</x:v>
      </x:c>
    </x:row>
    <x:row r="240">
      <x:c r="A240" t="str">
        <x:v>LEAD-000239</x:v>
      </x:c>
      <x:c r="B240" t="str">
        <x:v>IMV-0075</x:v>
      </x:c>
      <x:c r="C240" s="36" t="n">
        <x:v>46093</x:v>
      </x:c>
      <x:c r="D240" t="str">
        <x:v>Instagram</x:v>
      </x:c>
      <x:c r="E240" t="str">
        <x:v>Corretor 02</x:v>
      </x:c>
      <x:c r="F240" t="str">
        <x:v>Sim</x:v>
      </x:c>
      <x:c r="G240" t="str">
        <x:v>Sim</x:v>
      </x:c>
      <x:c r="H240" t="str">
        <x:v>Não</x:v>
      </x:c>
      <x:c r="I240" t="str">
        <x:v>Não</x:v>
      </x:c>
      <x:c r="J240" t="n">
        <x:v>1</x:v>
      </x:c>
    </x:row>
    <x:row r="241">
      <x:c r="A241" t="str">
        <x:v>LEAD-000240</x:v>
      </x:c>
      <x:c r="B241" t="str">
        <x:v>IMV-0075</x:v>
      </x:c>
      <x:c r="C241" s="36" t="n">
        <x:v>46165</x:v>
      </x:c>
      <x:c r="D241" t="str">
        <x:v>Indicação</x:v>
      </x:c>
      <x:c r="E241" t="str">
        <x:v>Corretor 05</x:v>
      </x:c>
      <x:c r="F241" t="str">
        <x:v>Não</x:v>
      </x:c>
      <x:c r="G241" t="str">
        <x:v>Não</x:v>
      </x:c>
      <x:c r="H241" t="str">
        <x:v>Não</x:v>
      </x:c>
      <x:c r="I241" t="str">
        <x:v>Não</x:v>
      </x:c>
      <x:c r="J241" t="n">
        <x:v>7</x:v>
      </x:c>
    </x:row>
    <x:row r="242">
      <x:c r="A242" t="str">
        <x:v>LEAD-000241</x:v>
      </x:c>
      <x:c r="B242" t="str">
        <x:v>IMV-0075</x:v>
      </x:c>
      <x:c r="C242" s="36" t="n">
        <x:v>46208</x:v>
      </x:c>
      <x:c r="D242" t="str">
        <x:v>Portal B</x:v>
      </x:c>
      <x:c r="E242" t="str">
        <x:v>Corretor 01</x:v>
      </x:c>
      <x:c r="F242" t="str">
        <x:v>Sim</x:v>
      </x:c>
      <x:c r="G242" t="str">
        <x:v>Não</x:v>
      </x:c>
      <x:c r="H242" t="str">
        <x:v>Não</x:v>
      </x:c>
      <x:c r="I242" t="str">
        <x:v>Não</x:v>
      </x:c>
      <x:c r="J242" t="n">
        <x:v>1</x:v>
      </x:c>
    </x:row>
    <x:row r="243">
      <x:c r="A243" t="str">
        <x:v>LEAD-000242</x:v>
      </x:c>
      <x:c r="B243" t="str">
        <x:v>IMV-0075</x:v>
      </x:c>
      <x:c r="C243" s="36" t="n">
        <x:v>46126</x:v>
      </x:c>
      <x:c r="D243" t="str">
        <x:v>Indicação</x:v>
      </x:c>
      <x:c r="E243" t="str">
        <x:v>Corretor 07</x:v>
      </x:c>
      <x:c r="F243" t="str">
        <x:v>Não</x:v>
      </x:c>
      <x:c r="G243" t="str">
        <x:v>Não</x:v>
      </x:c>
      <x:c r="H243" t="str">
        <x:v>Não</x:v>
      </x:c>
      <x:c r="I243" t="str">
        <x:v>Não</x:v>
      </x:c>
      <x:c r="J243" t="n">
        <x:v>5</x:v>
      </x:c>
    </x:row>
    <x:row r="244">
      <x:c r="A244" t="str">
        <x:v>LEAD-000243</x:v>
      </x:c>
      <x:c r="B244" t="str">
        <x:v>IMV-0075</x:v>
      </x:c>
      <x:c r="C244" s="36" t="n">
        <x:v>46236</x:v>
      </x:c>
      <x:c r="D244" t="str">
        <x:v>Instagram</x:v>
      </x:c>
      <x:c r="E244" t="str">
        <x:v>Corretor 01</x:v>
      </x:c>
      <x:c r="F244" t="str">
        <x:v>Sim</x:v>
      </x:c>
      <x:c r="G244" t="str">
        <x:v>Sim</x:v>
      </x:c>
      <x:c r="H244" t="str">
        <x:v>Não</x:v>
      </x:c>
      <x:c r="I244" t="str">
        <x:v>Não</x:v>
      </x:c>
      <x:c r="J244" t="n">
        <x:v>3</x:v>
      </x:c>
    </x:row>
    <x:row r="245">
      <x:c r="A245" t="str">
        <x:v>LEAD-000244</x:v>
      </x:c>
      <x:c r="B245" t="str">
        <x:v>IMV-0075</x:v>
      </x:c>
      <x:c r="C245" s="36" t="n">
        <x:v>46209</x:v>
      </x:c>
      <x:c r="D245" t="str">
        <x:v>Portal B</x:v>
      </x:c>
      <x:c r="E245" t="str">
        <x:v>Corretor 04</x:v>
      </x:c>
      <x:c r="F245" t="str">
        <x:v>Sim</x:v>
      </x:c>
      <x:c r="G245" t="str">
        <x:v>Não</x:v>
      </x:c>
      <x:c r="H245" t="str">
        <x:v>Não</x:v>
      </x:c>
      <x:c r="I245" t="str">
        <x:v>Não</x:v>
      </x:c>
      <x:c r="J245" t="n">
        <x:v>0</x:v>
      </x:c>
    </x:row>
    <x:row r="246">
      <x:c r="A246" t="str">
        <x:v>LEAD-000245</x:v>
      </x:c>
      <x:c r="B246" t="str">
        <x:v>IMV-0075</x:v>
      </x:c>
      <x:c r="C246" s="36" t="n">
        <x:v>46181</x:v>
      </x:c>
      <x:c r="D246" t="str">
        <x:v>Portal A</x:v>
      </x:c>
      <x:c r="E246" t="str">
        <x:v>Corretor 06</x:v>
      </x:c>
      <x:c r="F246" t="str">
        <x:v>Sim</x:v>
      </x:c>
      <x:c r="G246" t="str">
        <x:v>Não</x:v>
      </x:c>
      <x:c r="H246" t="str">
        <x:v>Não</x:v>
      </x:c>
      <x:c r="I246" t="str">
        <x:v>Não</x:v>
      </x:c>
      <x:c r="J246" t="n">
        <x:v>3</x:v>
      </x:c>
    </x:row>
    <x:row r="247">
      <x:c r="A247" t="str">
        <x:v>LEAD-000246</x:v>
      </x:c>
      <x:c r="B247" t="str">
        <x:v>IMV-0075</x:v>
      </x:c>
      <x:c r="C247" s="36" t="n">
        <x:v>46209</x:v>
      </x:c>
      <x:c r="D247" t="str">
        <x:v>Portal B</x:v>
      </x:c>
      <x:c r="E247" t="str">
        <x:v>Corretor 06</x:v>
      </x:c>
      <x:c r="F247" t="str">
        <x:v>Sim</x:v>
      </x:c>
      <x:c r="G247" t="str">
        <x:v>Não</x:v>
      </x:c>
      <x:c r="H247" t="str">
        <x:v>Não</x:v>
      </x:c>
      <x:c r="I247" t="str">
        <x:v>Não</x:v>
      </x:c>
      <x:c r="J247" t="n">
        <x:v>1</x:v>
      </x:c>
    </x:row>
    <x:row r="248">
      <x:c r="A248" t="str">
        <x:v>LEAD-000247</x:v>
      </x:c>
      <x:c r="B248" t="str">
        <x:v>IMV-0075</x:v>
      </x:c>
      <x:c r="C248" s="36" t="n">
        <x:v>46150</x:v>
      </x:c>
      <x:c r="D248" t="str">
        <x:v>Site próprio</x:v>
      </x:c>
      <x:c r="E248" t="str">
        <x:v>Corretor 07</x:v>
      </x:c>
      <x:c r="F248" t="str">
        <x:v>Sim</x:v>
      </x:c>
      <x:c r="G248" t="str">
        <x:v>Sim</x:v>
      </x:c>
      <x:c r="H248" t="str">
        <x:v>Sim</x:v>
      </x:c>
      <x:c r="I248" t="str">
        <x:v>Sim</x:v>
      </x:c>
      <x:c r="J248" t="n">
        <x:v>4</x:v>
      </x:c>
    </x:row>
    <x:row r="249">
      <x:c r="A249" t="str">
        <x:v>LEAD-000248</x:v>
      </x:c>
      <x:c r="B249" t="str">
        <x:v>IMV-0075</x:v>
      </x:c>
      <x:c r="C249" s="36" t="n">
        <x:v>46057</x:v>
      </x:c>
      <x:c r="D249" t="str">
        <x:v>Site próprio</x:v>
      </x:c>
      <x:c r="E249" t="str">
        <x:v>Corretor 02</x:v>
      </x:c>
      <x:c r="F249" t="str">
        <x:v>Sim</x:v>
      </x:c>
      <x:c r="G249" t="str">
        <x:v>Não</x:v>
      </x:c>
      <x:c r="H249" t="str">
        <x:v>Não</x:v>
      </x:c>
      <x:c r="I249" t="str">
        <x:v>Não</x:v>
      </x:c>
      <x:c r="J249" t="n">
        <x:v>2</x:v>
      </x:c>
    </x:row>
    <x:row r="250">
      <x:c r="A250" t="str">
        <x:v>LEAD-000249</x:v>
      </x:c>
      <x:c r="B250" t="str">
        <x:v>IMV-0075</x:v>
      </x:c>
      <x:c r="C250" s="36" t="n">
        <x:v>46081</x:v>
      </x:c>
      <x:c r="D250" t="str">
        <x:v>Site próprio</x:v>
      </x:c>
      <x:c r="E250" t="str">
        <x:v>Corretor 05</x:v>
      </x:c>
      <x:c r="F250" t="str">
        <x:v>Sim</x:v>
      </x:c>
      <x:c r="G250" t="str">
        <x:v>Sim</x:v>
      </x:c>
      <x:c r="H250" t="str">
        <x:v>Sim</x:v>
      </x:c>
      <x:c r="I250" t="str">
        <x:v>Não</x:v>
      </x:c>
      <x:c r="J250" t="n">
        <x:v>1</x:v>
      </x:c>
    </x:row>
    <x:row r="251">
      <x:c r="A251" t="str">
        <x:v>LEAD-000250</x:v>
      </x:c>
      <x:c r="B251" t="str">
        <x:v>IMV-0075</x:v>
      </x:c>
      <x:c r="C251" s="36" t="n">
        <x:v>46092</x:v>
      </x:c>
      <x:c r="D251" t="str">
        <x:v>Instagram</x:v>
      </x:c>
      <x:c r="E251" t="str">
        <x:v>Corretor 05</x:v>
      </x:c>
      <x:c r="F251" t="str">
        <x:v>Sim</x:v>
      </x:c>
      <x:c r="G251" t="str">
        <x:v>Não</x:v>
      </x:c>
      <x:c r="H251" t="str">
        <x:v>Não</x:v>
      </x:c>
      <x:c r="I251" t="str">
        <x:v>Não</x:v>
      </x:c>
      <x:c r="J251" t="n">
        <x:v>3</x:v>
      </x:c>
    </x:row>
    <x:row r="252">
      <x:c r="A252" t="str">
        <x:v>LEAD-000251</x:v>
      </x:c>
      <x:c r="B252" t="str">
        <x:v>IMV-0075</x:v>
      </x:c>
      <x:c r="C252" s="36" t="n">
        <x:v>46083</x:v>
      </x:c>
      <x:c r="D252" t="str">
        <x:v>Indicação</x:v>
      </x:c>
      <x:c r="E252" t="str">
        <x:v>Corretor 01</x:v>
      </x:c>
      <x:c r="F252" t="str">
        <x:v>Sim</x:v>
      </x:c>
      <x:c r="G252" t="str">
        <x:v>Não</x:v>
      </x:c>
      <x:c r="H252" t="str">
        <x:v>Não</x:v>
      </x:c>
      <x:c r="I252" t="str">
        <x:v>Não</x:v>
      </x:c>
      <x:c r="J252" t="n">
        <x:v>0</x:v>
      </x:c>
    </x:row>
    <x:row r="253">
      <x:c r="A253" t="str">
        <x:v>LEAD-000252</x:v>
      </x:c>
      <x:c r="B253" t="str">
        <x:v>IMV-0075</x:v>
      </x:c>
      <x:c r="C253" s="36" t="n">
        <x:v>46094</x:v>
      </x:c>
      <x:c r="D253" t="str">
        <x:v>Site próprio</x:v>
      </x:c>
      <x:c r="E253" t="str">
        <x:v>Corretor 08</x:v>
      </x:c>
      <x:c r="F253" t="str">
        <x:v>Sim</x:v>
      </x:c>
      <x:c r="G253" t="str">
        <x:v>Sim</x:v>
      </x:c>
      <x:c r="H253" t="str">
        <x:v>Não</x:v>
      </x:c>
      <x:c r="I253" t="str">
        <x:v>Não</x:v>
      </x:c>
      <x:c r="J253" t="n">
        <x:v>0</x:v>
      </x:c>
    </x:row>
    <x:row r="254">
      <x:c r="A254" t="str">
        <x:v>LEAD-000253</x:v>
      </x:c>
      <x:c r="B254" t="str">
        <x:v>IMV-0077</x:v>
      </x:c>
      <x:c r="C254" s="36" t="n">
        <x:v>46217</x:v>
      </x:c>
      <x:c r="D254" t="str">
        <x:v>Indicação</x:v>
      </x:c>
      <x:c r="E254" t="str">
        <x:v>Corretor 04</x:v>
      </x:c>
      <x:c r="F254" t="str">
        <x:v>Não</x:v>
      </x:c>
      <x:c r="G254" t="str">
        <x:v>Não</x:v>
      </x:c>
      <x:c r="H254" t="str">
        <x:v>Não</x:v>
      </x:c>
      <x:c r="I254" t="str">
        <x:v>Não</x:v>
      </x:c>
      <x:c r="J254" t="n">
        <x:v>14</x:v>
      </x:c>
    </x:row>
    <x:row r="255">
      <x:c r="A255" t="str">
        <x:v>LEAD-000254</x:v>
      </x:c>
      <x:c r="B255" t="str">
        <x:v>IMV-0078</x:v>
      </x:c>
      <x:c r="C255" s="36" t="n">
        <x:v>46166</x:v>
      </x:c>
      <x:c r="D255" t="str">
        <x:v>Portal A</x:v>
      </x:c>
      <x:c r="E255" t="str">
        <x:v>Corretor 05</x:v>
      </x:c>
      <x:c r="F255" t="str">
        <x:v>Sim</x:v>
      </x:c>
      <x:c r="G255" t="str">
        <x:v>Não</x:v>
      </x:c>
      <x:c r="H255" t="str">
        <x:v>Não</x:v>
      </x:c>
      <x:c r="I255" t="str">
        <x:v>Não</x:v>
      </x:c>
      <x:c r="J255" t="n">
        <x:v>0</x:v>
      </x:c>
    </x:row>
    <x:row r="256">
      <x:c r="A256" t="str">
        <x:v>LEAD-000255</x:v>
      </x:c>
      <x:c r="B256" t="str">
        <x:v>IMV-0078</x:v>
      </x:c>
      <x:c r="C256" s="36" t="n">
        <x:v>46070</x:v>
      </x:c>
      <x:c r="D256" t="str">
        <x:v>Instagram</x:v>
      </x:c>
      <x:c r="E256" t="str">
        <x:v>Corretor 08</x:v>
      </x:c>
      <x:c r="F256" t="str">
        <x:v>Sim</x:v>
      </x:c>
      <x:c r="G256" t="str">
        <x:v>Sim</x:v>
      </x:c>
      <x:c r="H256" t="str">
        <x:v>Sim</x:v>
      </x:c>
      <x:c r="I256" t="str">
        <x:v>Não</x:v>
      </x:c>
      <x:c r="J256" t="n">
        <x:v>0</x:v>
      </x:c>
    </x:row>
    <x:row r="257">
      <x:c r="A257" t="str">
        <x:v>LEAD-000256</x:v>
      </x:c>
      <x:c r="B257" t="str">
        <x:v>IMV-0078</x:v>
      </x:c>
      <x:c r="C257" s="36" t="n">
        <x:v>46125</x:v>
      </x:c>
      <x:c r="D257" t="str">
        <x:v>Indicação</x:v>
      </x:c>
      <x:c r="E257" t="str">
        <x:v>Corretor 08</x:v>
      </x:c>
      <x:c r="F257" t="str">
        <x:v>Não</x:v>
      </x:c>
      <x:c r="G257" t="str">
        <x:v>Não</x:v>
      </x:c>
      <x:c r="H257" t="str">
        <x:v>Não</x:v>
      </x:c>
      <x:c r="I257" t="str">
        <x:v>Não</x:v>
      </x:c>
      <x:c r="J257" t="n">
        <x:v>8</x:v>
      </x:c>
    </x:row>
    <x:row r="258">
      <x:c r="A258" t="str">
        <x:v>LEAD-000257</x:v>
      </x:c>
      <x:c r="B258" t="str">
        <x:v>IMV-0078</x:v>
      </x:c>
      <x:c r="C258" s="36" t="n">
        <x:v>46142</x:v>
      </x:c>
      <x:c r="D258" t="str">
        <x:v>Portal B</x:v>
      </x:c>
      <x:c r="E258" t="str">
        <x:v>Corretor 03</x:v>
      </x:c>
      <x:c r="F258" t="str">
        <x:v>Não</x:v>
      </x:c>
      <x:c r="G258" t="str">
        <x:v>Não</x:v>
      </x:c>
      <x:c r="H258" t="str">
        <x:v>Não</x:v>
      </x:c>
      <x:c r="I258" t="str">
        <x:v>Não</x:v>
      </x:c>
      <x:c r="J258" t="n">
        <x:v>15</x:v>
      </x:c>
    </x:row>
    <x:row r="259">
      <x:c r="A259" t="str">
        <x:v>LEAD-000258</x:v>
      </x:c>
      <x:c r="B259" t="str">
        <x:v>IMV-0078</x:v>
      </x:c>
      <x:c r="C259" s="36" t="n">
        <x:v>46121</x:v>
      </x:c>
      <x:c r="D259" t="str">
        <x:v>Portal B</x:v>
      </x:c>
      <x:c r="E259" t="str">
        <x:v>Corretor 03</x:v>
      </x:c>
      <x:c r="F259" t="str">
        <x:v>Sim</x:v>
      </x:c>
      <x:c r="G259" t="str">
        <x:v>Não</x:v>
      </x:c>
      <x:c r="H259" t="str">
        <x:v>Não</x:v>
      </x:c>
      <x:c r="I259" t="str">
        <x:v>Não</x:v>
      </x:c>
      <x:c r="J259" t="n">
        <x:v>2</x:v>
      </x:c>
    </x:row>
    <x:row r="260">
      <x:c r="A260" t="str">
        <x:v>LEAD-000259</x:v>
      </x:c>
      <x:c r="B260" t="str">
        <x:v>IMV-0078</x:v>
      </x:c>
      <x:c r="C260" s="36" t="n">
        <x:v>46186</x:v>
      </x:c>
      <x:c r="D260" t="str">
        <x:v>Portal A</x:v>
      </x:c>
      <x:c r="E260" t="str">
        <x:v>Corretor 04</x:v>
      </x:c>
      <x:c r="F260" t="str">
        <x:v>Não</x:v>
      </x:c>
      <x:c r="G260" t="str">
        <x:v>Não</x:v>
      </x:c>
      <x:c r="H260" t="str">
        <x:v>Não</x:v>
      </x:c>
      <x:c r="I260" t="str">
        <x:v>Não</x:v>
      </x:c>
      <x:c r="J260" t="n">
        <x:v>10</x:v>
      </x:c>
    </x:row>
    <x:row r="261">
      <x:c r="A261" t="str">
        <x:v>LEAD-000260</x:v>
      </x:c>
      <x:c r="B261" t="str">
        <x:v>IMV-0078</x:v>
      </x:c>
      <x:c r="C261" s="36" t="n">
        <x:v>46126</x:v>
      </x:c>
      <x:c r="D261" t="str">
        <x:v>Portal A</x:v>
      </x:c>
      <x:c r="E261" t="str">
        <x:v>Corretor 08</x:v>
      </x:c>
      <x:c r="F261" t="str">
        <x:v>Sim</x:v>
      </x:c>
      <x:c r="G261" t="str">
        <x:v>Não</x:v>
      </x:c>
      <x:c r="H261" t="str">
        <x:v>Não</x:v>
      </x:c>
      <x:c r="I261" t="str">
        <x:v>Não</x:v>
      </x:c>
      <x:c r="J261" t="n">
        <x:v>1</x:v>
      </x:c>
    </x:row>
    <x:row r="262">
      <x:c r="A262" t="str">
        <x:v>LEAD-000261</x:v>
      </x:c>
      <x:c r="B262" t="str">
        <x:v>IMV-0078</x:v>
      </x:c>
      <x:c r="C262" s="36" t="n">
        <x:v>46150</x:v>
      </x:c>
      <x:c r="D262" t="str">
        <x:v>Indicação</x:v>
      </x:c>
      <x:c r="E262" t="str">
        <x:v>Corretor 04</x:v>
      </x:c>
      <x:c r="F262" t="str">
        <x:v>Sim</x:v>
      </x:c>
      <x:c r="G262" t="str">
        <x:v>Não</x:v>
      </x:c>
      <x:c r="H262" t="str">
        <x:v>Não</x:v>
      </x:c>
      <x:c r="I262" t="str">
        <x:v>Não</x:v>
      </x:c>
      <x:c r="J262" t="n">
        <x:v>3</x:v>
      </x:c>
    </x:row>
    <x:row r="263">
      <x:c r="A263" t="str">
        <x:v>LEAD-000262</x:v>
      </x:c>
      <x:c r="B263" t="str">
        <x:v>IMV-0078</x:v>
      </x:c>
      <x:c r="C263" s="36" t="n">
        <x:v>46135</x:v>
      </x:c>
      <x:c r="D263" t="str">
        <x:v>Portal A</x:v>
      </x:c>
      <x:c r="E263" t="str">
        <x:v>Corretor 04</x:v>
      </x:c>
      <x:c r="F263" t="str">
        <x:v>Não</x:v>
      </x:c>
      <x:c r="G263" t="str">
        <x:v>Não</x:v>
      </x:c>
      <x:c r="H263" t="str">
        <x:v>Não</x:v>
      </x:c>
      <x:c r="I263" t="str">
        <x:v>Não</x:v>
      </x:c>
      <x:c r="J263" t="n">
        <x:v>13</x:v>
      </x:c>
    </x:row>
    <x:row r="264">
      <x:c r="A264" t="str">
        <x:v>LEAD-000263</x:v>
      </x:c>
      <x:c r="B264" t="str">
        <x:v>IMV-0078</x:v>
      </x:c>
      <x:c r="C264" s="36" t="n">
        <x:v>46174</x:v>
      </x:c>
      <x:c r="D264" t="str">
        <x:v>Portal B</x:v>
      </x:c>
      <x:c r="E264" t="str">
        <x:v>Corretor 05</x:v>
      </x:c>
      <x:c r="F264" t="str">
        <x:v>Sim</x:v>
      </x:c>
      <x:c r="G264" t="str">
        <x:v>Sim</x:v>
      </x:c>
      <x:c r="H264" t="str">
        <x:v>Não</x:v>
      </x:c>
      <x:c r="I264" t="str">
        <x:v>Não</x:v>
      </x:c>
      <x:c r="J264" t="n">
        <x:v>0</x:v>
      </x:c>
    </x:row>
    <x:row r="265">
      <x:c r="A265" t="str">
        <x:v>LEAD-000264</x:v>
      </x:c>
      <x:c r="B265" t="str">
        <x:v>IMV-0078</x:v>
      </x:c>
      <x:c r="C265" s="36" t="n">
        <x:v>46062</x:v>
      </x:c>
      <x:c r="D265" t="str">
        <x:v>Instagram</x:v>
      </x:c>
      <x:c r="E265" t="str">
        <x:v>Corretor 06</x:v>
      </x:c>
      <x:c r="F265" t="str">
        <x:v>Sim</x:v>
      </x:c>
      <x:c r="G265" t="str">
        <x:v>Sim</x:v>
      </x:c>
      <x:c r="H265" t="str">
        <x:v>Sim</x:v>
      </x:c>
      <x:c r="I265" t="str">
        <x:v>Sim</x:v>
      </x:c>
      <x:c r="J265" t="n">
        <x:v>2</x:v>
      </x:c>
    </x:row>
    <x:row r="266">
      <x:c r="A266" t="str">
        <x:v>LEAD-000265</x:v>
      </x:c>
      <x:c r="B266" t="str">
        <x:v>IMV-0078</x:v>
      </x:c>
      <x:c r="C266" s="36" t="n">
        <x:v>46227</x:v>
      </x:c>
      <x:c r="D266" t="str">
        <x:v>Site próprio</x:v>
      </x:c>
      <x:c r="E266" t="str">
        <x:v>Corretor 03</x:v>
      </x:c>
      <x:c r="F266" t="str">
        <x:v>Sim</x:v>
      </x:c>
      <x:c r="G266" t="str">
        <x:v>Sim</x:v>
      </x:c>
      <x:c r="H266" t="str">
        <x:v>Não</x:v>
      </x:c>
      <x:c r="I266" t="str">
        <x:v>Não</x:v>
      </x:c>
      <x:c r="J266" t="n">
        <x:v>3</x:v>
      </x:c>
    </x:row>
    <x:row r="267">
      <x:c r="A267" t="str">
        <x:v>LEAD-000266</x:v>
      </x:c>
      <x:c r="B267" t="str">
        <x:v>IMV-0079</x:v>
      </x:c>
      <x:c r="C267" s="36" t="n">
        <x:v>46107</x:v>
      </x:c>
      <x:c r="D267" t="str">
        <x:v>Site próprio</x:v>
      </x:c>
      <x:c r="E267" t="str">
        <x:v>Corretor 06</x:v>
      </x:c>
      <x:c r="F267" t="str">
        <x:v>Sim</x:v>
      </x:c>
      <x:c r="G267" t="str">
        <x:v>Não</x:v>
      </x:c>
      <x:c r="H267" t="str">
        <x:v>Não</x:v>
      </x:c>
      <x:c r="I267" t="str">
        <x:v>Não</x:v>
      </x:c>
      <x:c r="J267" t="n">
        <x:v>0</x:v>
      </x:c>
    </x:row>
    <x:row r="268">
      <x:c r="A268" t="str">
        <x:v>LEAD-000267</x:v>
      </x:c>
      <x:c r="B268" t="str">
        <x:v>IMV-0079</x:v>
      </x:c>
      <x:c r="C268" s="36" t="n">
        <x:v>46141</x:v>
      </x:c>
      <x:c r="D268" t="str">
        <x:v>Indicação</x:v>
      </x:c>
      <x:c r="E268" t="str">
        <x:v>Corretor 07</x:v>
      </x:c>
      <x:c r="F268" t="str">
        <x:v>Sim</x:v>
      </x:c>
      <x:c r="G268" t="str">
        <x:v>Não</x:v>
      </x:c>
      <x:c r="H268" t="str">
        <x:v>Não</x:v>
      </x:c>
      <x:c r="I268" t="str">
        <x:v>Não</x:v>
      </x:c>
      <x:c r="J268" t="n">
        <x:v>0</x:v>
      </x:c>
    </x:row>
    <x:row r="269">
      <x:c r="A269" t="str">
        <x:v>LEAD-000268</x:v>
      </x:c>
      <x:c r="B269" t="str">
        <x:v>IMV-0079</x:v>
      </x:c>
      <x:c r="C269" s="36" t="n">
        <x:v>46068</x:v>
      </x:c>
      <x:c r="D269" t="str">
        <x:v>Indicação</x:v>
      </x:c>
      <x:c r="E269" t="str">
        <x:v>Corretor 01</x:v>
      </x:c>
      <x:c r="F269" t="str">
        <x:v>Não</x:v>
      </x:c>
      <x:c r="G269" t="str">
        <x:v>Não</x:v>
      </x:c>
      <x:c r="H269" t="str">
        <x:v>Não</x:v>
      </x:c>
      <x:c r="I269" t="str">
        <x:v>Não</x:v>
      </x:c>
      <x:c r="J269" t="n">
        <x:v>6</x:v>
      </x:c>
    </x:row>
    <x:row r="270">
      <x:c r="A270" t="str">
        <x:v>LEAD-000269</x:v>
      </x:c>
      <x:c r="B270" t="str">
        <x:v>IMV-0079</x:v>
      </x:c>
      <x:c r="C270" s="36" t="n">
        <x:v>46164</x:v>
      </x:c>
      <x:c r="D270" t="str">
        <x:v>Portal A</x:v>
      </x:c>
      <x:c r="E270" t="str">
        <x:v>Corretor 07</x:v>
      </x:c>
      <x:c r="F270" t="str">
        <x:v>Não</x:v>
      </x:c>
      <x:c r="G270" t="str">
        <x:v>Não</x:v>
      </x:c>
      <x:c r="H270" t="str">
        <x:v>Não</x:v>
      </x:c>
      <x:c r="I270" t="str">
        <x:v>Não</x:v>
      </x:c>
      <x:c r="J270" t="n">
        <x:v>7</x:v>
      </x:c>
    </x:row>
    <x:row r="271">
      <x:c r="A271" t="str">
        <x:v>LEAD-000270</x:v>
      </x:c>
      <x:c r="B271" t="str">
        <x:v>IMV-0079</x:v>
      </x:c>
      <x:c r="C271" s="36" t="n">
        <x:v>46181</x:v>
      </x:c>
      <x:c r="D271" t="str">
        <x:v>Indicação</x:v>
      </x:c>
      <x:c r="E271" t="str">
        <x:v>Corretor 07</x:v>
      </x:c>
      <x:c r="F271" t="str">
        <x:v>Sim</x:v>
      </x:c>
      <x:c r="G271" t="str">
        <x:v>Sim</x:v>
      </x:c>
      <x:c r="H271" t="str">
        <x:v>Não</x:v>
      </x:c>
      <x:c r="I271" t="str">
        <x:v>Não</x:v>
      </x:c>
      <x:c r="J271" t="n">
        <x:v>2</x:v>
      </x:c>
    </x:row>
    <x:row r="272">
      <x:c r="A272" t="str">
        <x:v>LEAD-000271</x:v>
      </x:c>
      <x:c r="B272" t="str">
        <x:v>IMV-0080</x:v>
      </x:c>
      <x:c r="C272" s="36" t="n">
        <x:v>46069</x:v>
      </x:c>
      <x:c r="D272" t="str">
        <x:v>Site próprio</x:v>
      </x:c>
      <x:c r="E272" t="str">
        <x:v>Corretor 01</x:v>
      </x:c>
      <x:c r="F272" t="str">
        <x:v>Sim</x:v>
      </x:c>
      <x:c r="G272" t="str">
        <x:v>Não</x:v>
      </x:c>
      <x:c r="H272" t="str">
        <x:v>Não</x:v>
      </x:c>
      <x:c r="I272" t="str">
        <x:v>Não</x:v>
      </x:c>
      <x:c r="J272" t="n">
        <x:v>0</x:v>
      </x:c>
    </x:row>
    <x:row r="273">
      <x:c r="A273" t="str">
        <x:v>LEAD-000272</x:v>
      </x:c>
      <x:c r="B273" t="str">
        <x:v>IMV-0080</x:v>
      </x:c>
      <x:c r="C273" s="36" t="n">
        <x:v>46094</x:v>
      </x:c>
      <x:c r="D273" t="str">
        <x:v>Site próprio</x:v>
      </x:c>
      <x:c r="E273" t="str">
        <x:v>Corretor 07</x:v>
      </x:c>
      <x:c r="F273" t="str">
        <x:v>Sim</x:v>
      </x:c>
      <x:c r="G273" t="str">
        <x:v>Não</x:v>
      </x:c>
      <x:c r="H273" t="str">
        <x:v>Não</x:v>
      </x:c>
      <x:c r="I273" t="str">
        <x:v>Não</x:v>
      </x:c>
      <x:c r="J273" t="n">
        <x:v>3</x:v>
      </x:c>
    </x:row>
    <x:row r="274">
      <x:c r="A274" t="str">
        <x:v>LEAD-000273</x:v>
      </x:c>
      <x:c r="B274" t="str">
        <x:v>IMV-0080</x:v>
      </x:c>
      <x:c r="C274" s="36" t="n">
        <x:v>46179</x:v>
      </x:c>
      <x:c r="D274" t="str">
        <x:v>Site próprio</x:v>
      </x:c>
      <x:c r="E274" t="str">
        <x:v>Corretor 01</x:v>
      </x:c>
      <x:c r="F274" t="str">
        <x:v>Sim</x:v>
      </x:c>
      <x:c r="G274" t="str">
        <x:v>Sim</x:v>
      </x:c>
      <x:c r="H274" t="str">
        <x:v>Não</x:v>
      </x:c>
      <x:c r="I274" t="str">
        <x:v>Não</x:v>
      </x:c>
      <x:c r="J274" t="n">
        <x:v>1</x:v>
      </x:c>
    </x:row>
    <x:row r="275">
      <x:c r="A275" t="str">
        <x:v>LEAD-000274</x:v>
      </x:c>
      <x:c r="B275" t="str">
        <x:v>IMV-0080</x:v>
      </x:c>
      <x:c r="C275" s="36" t="n">
        <x:v>46086</x:v>
      </x:c>
      <x:c r="D275" t="str">
        <x:v>Portal A</x:v>
      </x:c>
      <x:c r="E275" t="str">
        <x:v>Corretor 06</x:v>
      </x:c>
      <x:c r="F275" t="str">
        <x:v>Não</x:v>
      </x:c>
      <x:c r="G275" t="str">
        <x:v>Não</x:v>
      </x:c>
      <x:c r="H275" t="str">
        <x:v>Não</x:v>
      </x:c>
      <x:c r="I275" t="str">
        <x:v>Não</x:v>
      </x:c>
      <x:c r="J275" t="n">
        <x:v>9</x:v>
      </x:c>
    </x:row>
  </x:sheetData>
  <x:pageMargins left="0.7" right="0.7" top="0.75" bottom="0.75" header="0.3" footer="0.3"/>
  <x:tableParts count="1">
    <x:tablePart xmlns:r="http://schemas.openxmlformats.org/officeDocument/2006/relationships" r:id="Re61a7b5998ec4a60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</x:cols>
  <x:sheetData>
    <x:row r="1" ht="34" customHeight="1">
      <x:c r="A1" s="26" t="str">
        <x:v>ID_Chamado</x:v>
      </x:c>
      <x:c r="B1" s="26" t="str">
        <x:v>ID_Imovel</x:v>
      </x:c>
      <x:c r="C1" s="26" t="str">
        <x:v>Data_Abertura</x:v>
      </x:c>
      <x:c r="D1" s="26" t="str">
        <x:v>Categoria</x:v>
      </x:c>
      <x:c r="E1" s="26" t="str">
        <x:v>Prioridade</x:v>
      </x:c>
      <x:c r="F1" s="26" t="str">
        <x:v>Status</x:v>
      </x:c>
      <x:c r="G1" s="26" t="str">
        <x:v>Dias_Em_Aberto</x:v>
      </x:c>
      <x:c r="H1" s="26" t="str">
        <x:v>Custo_Estimado</x:v>
      </x:c>
      <x:c r="I1" s="26" t="str">
        <x:v>Responsavel_Pagamento</x:v>
      </x:c>
      <x:c r="J1" s="26" t="str">
        <x:v>Satisfacao_Proprietario</x:v>
      </x:c>
    </x:row>
    <x:row r="2">
      <x:c r="A2" t="str">
        <x:v>CH-00001</x:v>
      </x:c>
      <x:c r="B2" t="str">
        <x:v>IMV-0001</x:v>
      </x:c>
      <x:c r="C2" s="36" t="n">
        <x:v>46133</x:v>
      </x:c>
      <x:c r="D2" t="str">
        <x:v>Estrutural</x:v>
      </x:c>
      <x:c r="E2" t="str">
        <x:v>Crítica</x:v>
      </x:c>
      <x:c r="F2" t="str">
        <x:v>Concluído</x:v>
      </x:c>
      <x:c r="G2" t="n">
        <x:v>25</x:v>
      </x:c>
      <x:c r="H2" s="32" t="n">
        <x:v>2450</x:v>
      </x:c>
      <x:c r="I2" t="str">
        <x:v>Inquilino</x:v>
      </x:c>
      <x:c r="J2" t="n">
        <x:v>4</x:v>
      </x:c>
    </x:row>
    <x:row r="3">
      <x:c r="A3" t="str">
        <x:v>CH-00002</x:v>
      </x:c>
      <x:c r="B3" t="str">
        <x:v>IMV-0003</x:v>
      </x:c>
      <x:c r="C3" s="36" t="n">
        <x:v>46184</x:v>
      </x:c>
      <x:c r="D3" t="str">
        <x:v>Hidráulica</x:v>
      </x:c>
      <x:c r="E3" t="str">
        <x:v>Alta</x:v>
      </x:c>
      <x:c r="F3" t="str">
        <x:v>Concluído</x:v>
      </x:c>
      <x:c r="G3" t="n">
        <x:v>14</x:v>
      </x:c>
      <x:c r="H3" s="32" t="n">
        <x:v>390</x:v>
      </x:c>
      <x:c r="I3" t="str">
        <x:v>Imobiliária</x:v>
      </x:c>
      <x:c r="J3" t="n">
        <x:v>1</x:v>
      </x:c>
    </x:row>
    <x:row r="4">
      <x:c r="A4" t="str">
        <x:v>CH-00003</x:v>
      </x:c>
      <x:c r="B4" t="str">
        <x:v>IMV-0003</x:v>
      </x:c>
      <x:c r="C4" s="36" t="n">
        <x:v>46085</x:v>
      </x:c>
      <x:c r="D4" t="str">
        <x:v>Pintura</x:v>
      </x:c>
      <x:c r="E4" t="str">
        <x:v>Média</x:v>
      </x:c>
      <x:c r="F4" t="str">
        <x:v>Concluído</x:v>
      </x:c>
      <x:c r="G4" t="n">
        <x:v>20</x:v>
      </x:c>
      <x:c r="H4" s="32" t="n">
        <x:v>990</x:v>
      </x:c>
      <x:c r="I4" t="str">
        <x:v>Proprietário</x:v>
      </x:c>
      <x:c r="J4" t="n">
        <x:v>1</x:v>
      </x:c>
    </x:row>
    <x:row r="5">
      <x:c r="A5" t="str">
        <x:v>CH-00004</x:v>
      </x:c>
      <x:c r="B5" t="str">
        <x:v>IMV-0003</x:v>
      </x:c>
      <x:c r="C5" s="36" t="n">
        <x:v>45927</x:v>
      </x:c>
      <x:c r="D5" t="str">
        <x:v>Elétrica</x:v>
      </x:c>
      <x:c r="E5" t="str">
        <x:v>Crítica</x:v>
      </x:c>
      <x:c r="F5" t="str">
        <x:v>Concluído</x:v>
      </x:c>
      <x:c r="G5" t="n">
        <x:v>11</x:v>
      </x:c>
      <x:c r="H5" s="32" t="n">
        <x:v>2900</x:v>
      </x:c>
      <x:c r="I5" t="str">
        <x:v>Inquilino</x:v>
      </x:c>
      <x:c r="J5" t="n">
        <x:v>1</x:v>
      </x:c>
    </x:row>
    <x:row r="6">
      <x:c r="A6" t="str">
        <x:v>CH-00005</x:v>
      </x:c>
      <x:c r="B6" t="str">
        <x:v>IMV-0003</x:v>
      </x:c>
      <x:c r="C6" s="36" t="n">
        <x:v>46071</x:v>
      </x:c>
      <x:c r="D6" t="str">
        <x:v>Hidráulica</x:v>
      </x:c>
      <x:c r="E6" t="str">
        <x:v>Média</x:v>
      </x:c>
      <x:c r="F6" t="str">
        <x:v>Aguardando prestador</x:v>
      </x:c>
      <x:c r="G6" t="n">
        <x:v>166</x:v>
      </x:c>
      <x:c r="H6" s="32" t="n">
        <x:v>800</x:v>
      </x:c>
      <x:c r="I6" t="str">
        <x:v>Imobiliária</x:v>
      </x:c>
      <x:c r="J6"/>
    </x:row>
    <x:row r="7">
      <x:c r="A7" t="str">
        <x:v>CH-00006</x:v>
      </x:c>
      <x:c r="B7" t="str">
        <x:v>IMV-0003</x:v>
      </x:c>
      <x:c r="C7" s="36" t="n">
        <x:v>46202</x:v>
      </x:c>
      <x:c r="D7" t="str">
        <x:v>Elétrica</x:v>
      </x:c>
      <x:c r="E7" t="str">
        <x:v>Alta</x:v>
      </x:c>
      <x:c r="F7" t="str">
        <x:v>Concluído</x:v>
      </x:c>
      <x:c r="G7" t="n">
        <x:v>25</x:v>
      </x:c>
      <x:c r="H7" s="32" t="n">
        <x:v>2840</x:v>
      </x:c>
      <x:c r="I7" t="str">
        <x:v>Inquilino</x:v>
      </x:c>
      <x:c r="J7" t="n">
        <x:v>1</x:v>
      </x:c>
    </x:row>
    <x:row r="8">
      <x:c r="A8" t="str">
        <x:v>CH-00007</x:v>
      </x:c>
      <x:c r="B8" t="str">
        <x:v>IMV-0004</x:v>
      </x:c>
      <x:c r="C8" s="36" t="n">
        <x:v>46088</x:v>
      </x:c>
      <x:c r="D8" t="str">
        <x:v>Eletrodoméstico</x:v>
      </x:c>
      <x:c r="E8" t="str">
        <x:v>Baixa</x:v>
      </x:c>
      <x:c r="F8" t="str">
        <x:v>Concluído</x:v>
      </x:c>
      <x:c r="G8" t="n">
        <x:v>1</x:v>
      </x:c>
      <x:c r="H8" s="32" t="n">
        <x:v>2590</x:v>
      </x:c>
      <x:c r="I8" t="str">
        <x:v>Proprietário</x:v>
      </x:c>
      <x:c r="J8" t="n">
        <x:v>5</x:v>
      </x:c>
    </x:row>
    <x:row r="9">
      <x:c r="A9" t="str">
        <x:v>CH-00008</x:v>
      </x:c>
      <x:c r="B9" t="str">
        <x:v>IMV-0004</x:v>
      </x:c>
      <x:c r="C9" s="36" t="n">
        <x:v>45872</x:v>
      </x:c>
      <x:c r="D9" t="str">
        <x:v>Eletrodoméstico</x:v>
      </x:c>
      <x:c r="E9" t="str">
        <x:v>Baixa</x:v>
      </x:c>
      <x:c r="F9" t="str">
        <x:v>Aguardando prestador</x:v>
      </x:c>
      <x:c r="G9" t="n">
        <x:v>365</x:v>
      </x:c>
      <x:c r="H9" s="32" t="n">
        <x:v>1450</x:v>
      </x:c>
      <x:c r="I9" t="str">
        <x:v>Proprietário</x:v>
      </x:c>
      <x:c r="J9"/>
    </x:row>
    <x:row r="10">
      <x:c r="A10" t="str">
        <x:v>CH-00009</x:v>
      </x:c>
      <x:c r="B10" t="str">
        <x:v>IMV-0004</x:v>
      </x:c>
      <x:c r="C10" s="36" t="n">
        <x:v>46034</x:v>
      </x:c>
      <x:c r="D10" t="str">
        <x:v>Eletrodoméstico</x:v>
      </x:c>
      <x:c r="E10" t="str">
        <x:v>Baixa</x:v>
      </x:c>
      <x:c r="F10" t="str">
        <x:v>Aguardando proprietário</x:v>
      </x:c>
      <x:c r="G10" t="n">
        <x:v>203</x:v>
      </x:c>
      <x:c r="H10" s="32" t="n">
        <x:v>860</x:v>
      </x:c>
      <x:c r="I10" t="str">
        <x:v>Proprietário</x:v>
      </x:c>
      <x:c r="J10"/>
    </x:row>
    <x:row r="11">
      <x:c r="A11" t="str">
        <x:v>CH-00010</x:v>
      </x:c>
      <x:c r="B11" t="str">
        <x:v>IMV-0004</x:v>
      </x:c>
      <x:c r="C11" s="36" t="n">
        <x:v>46206</x:v>
      </x:c>
      <x:c r="D11" t="str">
        <x:v>Eletrodoméstico</x:v>
      </x:c>
      <x:c r="E11" t="str">
        <x:v>Crítica</x:v>
      </x:c>
      <x:c r="F11" t="str">
        <x:v>Em andamento</x:v>
      </x:c>
      <x:c r="G11" t="n">
        <x:v>31</x:v>
      </x:c>
      <x:c r="H11" s="32" t="n">
        <x:v>2540</x:v>
      </x:c>
      <x:c r="I11" t="str">
        <x:v>Proprietário</x:v>
      </x:c>
      <x:c r="J11"/>
    </x:row>
    <x:row r="12">
      <x:c r="A12" t="str">
        <x:v>CH-00011</x:v>
      </x:c>
      <x:c r="B12" t="str">
        <x:v>IMV-0004</x:v>
      </x:c>
      <x:c r="C12" s="36" t="n">
        <x:v>45942</x:v>
      </x:c>
      <x:c r="D12" t="str">
        <x:v>Pintura</x:v>
      </x:c>
      <x:c r="E12" t="str">
        <x:v>Baixa</x:v>
      </x:c>
      <x:c r="F12" t="str">
        <x:v>Em andamento</x:v>
      </x:c>
      <x:c r="G12" t="n">
        <x:v>295</x:v>
      </x:c>
      <x:c r="H12" s="32" t="n">
        <x:v>3350</x:v>
      </x:c>
      <x:c r="I12" t="str">
        <x:v>Proprietário</x:v>
      </x:c>
      <x:c r="J12"/>
    </x:row>
    <x:row r="13">
      <x:c r="A13" t="str">
        <x:v>CH-00012</x:v>
      </x:c>
      <x:c r="B13" t="str">
        <x:v>IMV-0004</x:v>
      </x:c>
      <x:c r="C13" s="36" t="n">
        <x:v>46091</x:v>
      </x:c>
      <x:c r="D13" t="str">
        <x:v>Elétrica</x:v>
      </x:c>
      <x:c r="E13" t="str">
        <x:v>Baixa</x:v>
      </x:c>
      <x:c r="F13" t="str">
        <x:v>Em andamento</x:v>
      </x:c>
      <x:c r="G13" t="n">
        <x:v>146</x:v>
      </x:c>
      <x:c r="H13" s="32" t="n">
        <x:v>3670</x:v>
      </x:c>
      <x:c r="I13" t="str">
        <x:v>Imobiliária</x:v>
      </x:c>
      <x:c r="J13"/>
    </x:row>
    <x:row r="14">
      <x:c r="A14" t="str">
        <x:v>CH-00013</x:v>
      </x:c>
      <x:c r="B14" t="str">
        <x:v>IMV-0004</x:v>
      </x:c>
      <x:c r="C14" s="36" t="n">
        <x:v>46159</x:v>
      </x:c>
      <x:c r="D14" t="str">
        <x:v>Chaves/Fechadura</x:v>
      </x:c>
      <x:c r="E14" t="str">
        <x:v>Baixa</x:v>
      </x:c>
      <x:c r="F14" t="str">
        <x:v>Concluído</x:v>
      </x:c>
      <x:c r="G14" t="n">
        <x:v>11</x:v>
      </x:c>
      <x:c r="H14" s="32" t="n">
        <x:v>1360</x:v>
      </x:c>
      <x:c r="I14" t="str">
        <x:v>Inquilino</x:v>
      </x:c>
      <x:c r="J14" t="n">
        <x:v>4</x:v>
      </x:c>
    </x:row>
    <x:row r="15">
      <x:c r="A15" t="str">
        <x:v>CH-00014</x:v>
      </x:c>
      <x:c r="B15" t="str">
        <x:v>IMV-0005</x:v>
      </x:c>
      <x:c r="C15" s="36" t="n">
        <x:v>45919</x:v>
      </x:c>
      <x:c r="D15" t="str">
        <x:v>Hidráulica</x:v>
      </x:c>
      <x:c r="E15" t="str">
        <x:v>Crítica</x:v>
      </x:c>
      <x:c r="F15" t="str">
        <x:v>Aguardando proprietário</x:v>
      </x:c>
      <x:c r="G15" t="n">
        <x:v>318</x:v>
      </x:c>
      <x:c r="H15" s="32" t="n">
        <x:v>360</x:v>
      </x:c>
      <x:c r="I15" t="str">
        <x:v>Proprietário</x:v>
      </x:c>
      <x:c r="J15"/>
    </x:row>
    <x:row r="16">
      <x:c r="A16" t="str">
        <x:v>CH-00015</x:v>
      </x:c>
      <x:c r="B16" t="str">
        <x:v>IMV-0005</x:v>
      </x:c>
      <x:c r="C16" s="36" t="n">
        <x:v>45947</x:v>
      </x:c>
      <x:c r="D16" t="str">
        <x:v>Estrutural</x:v>
      </x:c>
      <x:c r="E16" t="str">
        <x:v>Média</x:v>
      </x:c>
      <x:c r="F16" t="str">
        <x:v>Concluído</x:v>
      </x:c>
      <x:c r="G16" t="n">
        <x:v>4</x:v>
      </x:c>
      <x:c r="H16" s="32" t="n">
        <x:v>2220</x:v>
      </x:c>
      <x:c r="I16" t="str">
        <x:v>Imobiliária</x:v>
      </x:c>
      <x:c r="J16" t="n">
        <x:v>2</x:v>
      </x:c>
    </x:row>
    <x:row r="17">
      <x:c r="A17" t="str">
        <x:v>CH-00016</x:v>
      </x:c>
      <x:c r="B17" t="str">
        <x:v>IMV-0005</x:v>
      </x:c>
      <x:c r="C17" s="36" t="n">
        <x:v>46198</x:v>
      </x:c>
      <x:c r="D17" t="str">
        <x:v>Elétrica</x:v>
      </x:c>
      <x:c r="E17" t="str">
        <x:v>Baixa</x:v>
      </x:c>
      <x:c r="F17" t="str">
        <x:v>Em andamento</x:v>
      </x:c>
      <x:c r="G17" t="n">
        <x:v>39</x:v>
      </x:c>
      <x:c r="H17" s="32" t="n">
        <x:v>330</x:v>
      </x:c>
      <x:c r="I17" t="str">
        <x:v>Proprietário</x:v>
      </x:c>
      <x:c r="J17"/>
    </x:row>
    <x:row r="18">
      <x:c r="A18" t="str">
        <x:v>CH-00017</x:v>
      </x:c>
      <x:c r="B18" t="str">
        <x:v>IMV-0005</x:v>
      </x:c>
      <x:c r="C18" s="36" t="n">
        <x:v>46021</x:v>
      </x:c>
      <x:c r="D18" t="str">
        <x:v>Pintura</x:v>
      </x:c>
      <x:c r="E18" t="str">
        <x:v>Média</x:v>
      </x:c>
      <x:c r="F18" t="str">
        <x:v>Concluído</x:v>
      </x:c>
      <x:c r="G18" t="n">
        <x:v>8</x:v>
      </x:c>
      <x:c r="H18" s="32" t="n">
        <x:v>370</x:v>
      </x:c>
      <x:c r="I18" t="str">
        <x:v>Proprietário</x:v>
      </x:c>
      <x:c r="J18" t="n">
        <x:v>1</x:v>
      </x:c>
    </x:row>
    <x:row r="19">
      <x:c r="A19" t="str">
        <x:v>CH-00018</x:v>
      </x:c>
      <x:c r="B19" t="str">
        <x:v>IMV-0005</x:v>
      </x:c>
      <x:c r="C19" s="36" t="n">
        <x:v>46110</x:v>
      </x:c>
      <x:c r="D19" t="str">
        <x:v>Elétrica</x:v>
      </x:c>
      <x:c r="E19" t="str">
        <x:v>Crítica</x:v>
      </x:c>
      <x:c r="F19" t="str">
        <x:v>Concluído</x:v>
      </x:c>
      <x:c r="G19" t="n">
        <x:v>25</x:v>
      </x:c>
      <x:c r="H19" s="32" t="n">
        <x:v>1800</x:v>
      </x:c>
      <x:c r="I19" t="str">
        <x:v>Proprietário</x:v>
      </x:c>
      <x:c r="J19" t="n">
        <x:v>4</x:v>
      </x:c>
    </x:row>
    <x:row r="20">
      <x:c r="A20" t="str">
        <x:v>CH-00019</x:v>
      </x:c>
      <x:c r="B20" t="str">
        <x:v>IMV-0006</x:v>
      </x:c>
      <x:c r="C20" s="36" t="n">
        <x:v>46132</x:v>
      </x:c>
      <x:c r="D20" t="str">
        <x:v>Hidráulica</x:v>
      </x:c>
      <x:c r="E20" t="str">
        <x:v>Alta</x:v>
      </x:c>
      <x:c r="F20" t="str">
        <x:v>Em andamento</x:v>
      </x:c>
      <x:c r="G20" t="n">
        <x:v>105</x:v>
      </x:c>
      <x:c r="H20" s="32" t="n">
        <x:v>310</x:v>
      </x:c>
      <x:c r="I20" t="str">
        <x:v>Inquilino</x:v>
      </x:c>
      <x:c r="J20"/>
    </x:row>
    <x:row r="21">
      <x:c r="A21" t="str">
        <x:v>CH-00020</x:v>
      </x:c>
      <x:c r="B21" t="str">
        <x:v>IMV-0007</x:v>
      </x:c>
      <x:c r="C21" s="36" t="n">
        <x:v>46186</x:v>
      </x:c>
      <x:c r="D21" t="str">
        <x:v>Pintura</x:v>
      </x:c>
      <x:c r="E21" t="str">
        <x:v>Alta</x:v>
      </x:c>
      <x:c r="F21" t="str">
        <x:v>Concluído</x:v>
      </x:c>
      <x:c r="G21" t="n">
        <x:v>14</x:v>
      </x:c>
      <x:c r="H21" s="32" t="n">
        <x:v>890</x:v>
      </x:c>
      <x:c r="I21" t="str">
        <x:v>Imobiliária</x:v>
      </x:c>
      <x:c r="J21" t="n">
        <x:v>4</x:v>
      </x:c>
    </x:row>
    <x:row r="22">
      <x:c r="A22" t="str">
        <x:v>CH-00021</x:v>
      </x:c>
      <x:c r="B22" t="str">
        <x:v>IMV-0007</x:v>
      </x:c>
      <x:c r="C22" s="36" t="n">
        <x:v>46155</x:v>
      </x:c>
      <x:c r="D22" t="str">
        <x:v>Pintura</x:v>
      </x:c>
      <x:c r="E22" t="str">
        <x:v>Alta</x:v>
      </x:c>
      <x:c r="F22" t="str">
        <x:v>Concluído</x:v>
      </x:c>
      <x:c r="G22" t="n">
        <x:v>20</x:v>
      </x:c>
      <x:c r="H22" s="32" t="n">
        <x:v>2410</x:v>
      </x:c>
      <x:c r="I22" t="str">
        <x:v>Proprietário</x:v>
      </x:c>
      <x:c r="J22" t="n">
        <x:v>1</x:v>
      </x:c>
    </x:row>
    <x:row r="23">
      <x:c r="A23" t="str">
        <x:v>CH-00022</x:v>
      </x:c>
      <x:c r="B23" t="str">
        <x:v>IMV-0007</x:v>
      </x:c>
      <x:c r="C23" s="36" t="n">
        <x:v>46203</x:v>
      </x:c>
      <x:c r="D23" t="str">
        <x:v>Elétrica</x:v>
      </x:c>
      <x:c r="E23" t="str">
        <x:v>Alta</x:v>
      </x:c>
      <x:c r="F23" t="str">
        <x:v>Concluído</x:v>
      </x:c>
      <x:c r="G23" t="n">
        <x:v>24</x:v>
      </x:c>
      <x:c r="H23" s="32" t="n">
        <x:v>1460</x:v>
      </x:c>
      <x:c r="I23" t="str">
        <x:v>Inquilino</x:v>
      </x:c>
      <x:c r="J23" t="n">
        <x:v>1</x:v>
      </x:c>
    </x:row>
    <x:row r="24">
      <x:c r="A24" t="str">
        <x:v>CH-00023</x:v>
      </x:c>
      <x:c r="B24" t="str">
        <x:v>IMV-0007</x:v>
      </x:c>
      <x:c r="C24" s="36" t="n">
        <x:v>45893</x:v>
      </x:c>
      <x:c r="D24" t="str">
        <x:v>Estrutural</x:v>
      </x:c>
      <x:c r="E24" t="str">
        <x:v>Crítica</x:v>
      </x:c>
      <x:c r="F24" t="str">
        <x:v>Aguardando prestador</x:v>
      </x:c>
      <x:c r="G24" t="n">
        <x:v>344</x:v>
      </x:c>
      <x:c r="H24" s="32" t="n">
        <x:v>2330</x:v>
      </x:c>
      <x:c r="I24" t="str">
        <x:v>Inquilino</x:v>
      </x:c>
      <x:c r="J24"/>
    </x:row>
    <x:row r="25">
      <x:c r="A25" t="str">
        <x:v>CH-00024</x:v>
      </x:c>
      <x:c r="B25" t="str">
        <x:v>IMV-0007</x:v>
      </x:c>
      <x:c r="C25" s="36" t="n">
        <x:v>46073</x:v>
      </x:c>
      <x:c r="D25" t="str">
        <x:v>Eletrodoméstico</x:v>
      </x:c>
      <x:c r="E25" t="str">
        <x:v>Crítica</x:v>
      </x:c>
      <x:c r="F25" t="str">
        <x:v>Concluído</x:v>
      </x:c>
      <x:c r="G25" t="n">
        <x:v>13</x:v>
      </x:c>
      <x:c r="H25" s="32" t="n">
        <x:v>780</x:v>
      </x:c>
      <x:c r="I25" t="str">
        <x:v>Proprietário</x:v>
      </x:c>
      <x:c r="J25" t="n">
        <x:v>2</x:v>
      </x:c>
    </x:row>
    <x:row r="26">
      <x:c r="A26" t="str">
        <x:v>CH-00025</x:v>
      </x:c>
      <x:c r="B26" t="str">
        <x:v>IMV-0008</x:v>
      </x:c>
      <x:c r="C26" s="36" t="n">
        <x:v>45993</x:v>
      </x:c>
      <x:c r="D26" t="str">
        <x:v>Hidráulica</x:v>
      </x:c>
      <x:c r="E26" t="str">
        <x:v>Alta</x:v>
      </x:c>
      <x:c r="F26" t="str">
        <x:v>Concluído</x:v>
      </x:c>
      <x:c r="G26" t="n">
        <x:v>24</x:v>
      </x:c>
      <x:c r="H26" s="32" t="n">
        <x:v>4390</x:v>
      </x:c>
      <x:c r="I26" t="str">
        <x:v>Inquilino</x:v>
      </x:c>
      <x:c r="J26" t="n">
        <x:v>5</x:v>
      </x:c>
    </x:row>
    <x:row r="27">
      <x:c r="A27" t="str">
        <x:v>CH-00026</x:v>
      </x:c>
      <x:c r="B27" t="str">
        <x:v>IMV-0008</x:v>
      </x:c>
      <x:c r="C27" s="36" t="n">
        <x:v>46195</x:v>
      </x:c>
      <x:c r="D27" t="str">
        <x:v>Elétrica</x:v>
      </x:c>
      <x:c r="E27" t="str">
        <x:v>Alta</x:v>
      </x:c>
      <x:c r="F27" t="str">
        <x:v>Aguardando prestador</x:v>
      </x:c>
      <x:c r="G27" t="n">
        <x:v>42</x:v>
      </x:c>
      <x:c r="H27" s="32" t="n">
        <x:v>470</x:v>
      </x:c>
      <x:c r="I27" t="str">
        <x:v>Imobiliária</x:v>
      </x:c>
      <x:c r="J27"/>
    </x:row>
    <x:row r="28">
      <x:c r="A28" t="str">
        <x:v>CH-00027</x:v>
      </x:c>
      <x:c r="B28" t="str">
        <x:v>IMV-0008</x:v>
      </x:c>
      <x:c r="C28" s="36" t="n">
        <x:v>46090</x:v>
      </x:c>
      <x:c r="D28" t="str">
        <x:v>Estrutural</x:v>
      </x:c>
      <x:c r="E28" t="str">
        <x:v>Crítica</x:v>
      </x:c>
      <x:c r="F28" t="str">
        <x:v>Concluído</x:v>
      </x:c>
      <x:c r="G28" t="n">
        <x:v>9</x:v>
      </x:c>
      <x:c r="H28" s="32" t="n">
        <x:v>1870</x:v>
      </x:c>
      <x:c r="I28" t="str">
        <x:v>Inquilino</x:v>
      </x:c>
      <x:c r="J28" t="n">
        <x:v>5</x:v>
      </x:c>
    </x:row>
    <x:row r="29">
      <x:c r="A29" t="str">
        <x:v>CH-00028</x:v>
      </x:c>
      <x:c r="B29" t="str">
        <x:v>IMV-0008</x:v>
      </x:c>
      <x:c r="C29" s="36" t="n">
        <x:v>46174</x:v>
      </x:c>
      <x:c r="D29" t="str">
        <x:v>Elétrica</x:v>
      </x:c>
      <x:c r="E29" t="str">
        <x:v>Média</x:v>
      </x:c>
      <x:c r="F29" t="str">
        <x:v>Concluído</x:v>
      </x:c>
      <x:c r="G29" t="n">
        <x:v>2</x:v>
      </x:c>
      <x:c r="H29" s="32" t="n">
        <x:v>1350</x:v>
      </x:c>
      <x:c r="I29" t="str">
        <x:v>Inquilino</x:v>
      </x:c>
      <x:c r="J29" t="n">
        <x:v>2</x:v>
      </x:c>
    </x:row>
    <x:row r="30">
      <x:c r="A30" t="str">
        <x:v>CH-00029</x:v>
      </x:c>
      <x:c r="B30" t="str">
        <x:v>IMV-0008</x:v>
      </x:c>
      <x:c r="C30" s="36" t="n">
        <x:v>46043</x:v>
      </x:c>
      <x:c r="D30" t="str">
        <x:v>Chaves/Fechadura</x:v>
      </x:c>
      <x:c r="E30" t="str">
        <x:v>Alta</x:v>
      </x:c>
      <x:c r="F30" t="str">
        <x:v>Concluído</x:v>
      </x:c>
      <x:c r="G30" t="n">
        <x:v>21</x:v>
      </x:c>
      <x:c r="H30" s="32" t="n">
        <x:v>3140</x:v>
      </x:c>
      <x:c r="I30" t="str">
        <x:v>Proprietário</x:v>
      </x:c>
      <x:c r="J30" t="n">
        <x:v>5</x:v>
      </x:c>
    </x:row>
    <x:row r="31">
      <x:c r="A31" t="str">
        <x:v>CH-00030</x:v>
      </x:c>
      <x:c r="B31" t="str">
        <x:v>IMV-0008</x:v>
      </x:c>
      <x:c r="C31" s="36" t="n">
        <x:v>46219</x:v>
      </x:c>
      <x:c r="D31" t="str">
        <x:v>Pintura</x:v>
      </x:c>
      <x:c r="E31" t="str">
        <x:v>Alta</x:v>
      </x:c>
      <x:c r="F31" t="str">
        <x:v>Concluído</x:v>
      </x:c>
      <x:c r="G31" t="n">
        <x:v>21</x:v>
      </x:c>
      <x:c r="H31" s="32" t="n">
        <x:v>560</x:v>
      </x:c>
      <x:c r="I31" t="str">
        <x:v>Proprietário</x:v>
      </x:c>
      <x:c r="J31" t="n">
        <x:v>5</x:v>
      </x:c>
    </x:row>
    <x:row r="32">
      <x:c r="A32" t="str">
        <x:v>CH-00031</x:v>
      </x:c>
      <x:c r="B32" t="str">
        <x:v>IMV-0009</x:v>
      </x:c>
      <x:c r="C32" s="36" t="n">
        <x:v>46175</x:v>
      </x:c>
      <x:c r="D32" t="str">
        <x:v>Eletrodoméstico</x:v>
      </x:c>
      <x:c r="E32" t="str">
        <x:v>Crítica</x:v>
      </x:c>
      <x:c r="F32" t="str">
        <x:v>Concluído</x:v>
      </x:c>
      <x:c r="G32" t="n">
        <x:v>8</x:v>
      </x:c>
      <x:c r="H32" s="32" t="n">
        <x:v>3420</x:v>
      </x:c>
      <x:c r="I32" t="str">
        <x:v>Proprietário</x:v>
      </x:c>
      <x:c r="J32" t="n">
        <x:v>3</x:v>
      </x:c>
    </x:row>
    <x:row r="33">
      <x:c r="A33" t="str">
        <x:v>CH-00032</x:v>
      </x:c>
      <x:c r="B33" t="str">
        <x:v>IMV-0009</x:v>
      </x:c>
      <x:c r="C33" s="36" t="n">
        <x:v>46198</x:v>
      </x:c>
      <x:c r="D33" t="str">
        <x:v>Eletrodoméstico</x:v>
      </x:c>
      <x:c r="E33" t="str">
        <x:v>Baixa</x:v>
      </x:c>
      <x:c r="F33" t="str">
        <x:v>Aguardando prestador</x:v>
      </x:c>
      <x:c r="G33" t="n">
        <x:v>39</x:v>
      </x:c>
      <x:c r="H33" s="32" t="n">
        <x:v>1420</x:v>
      </x:c>
      <x:c r="I33" t="str">
        <x:v>Imobiliária</x:v>
      </x:c>
      <x:c r="J33"/>
    </x:row>
    <x:row r="34">
      <x:c r="A34" t="str">
        <x:v>CH-00033</x:v>
      </x:c>
      <x:c r="B34" t="str">
        <x:v>IMV-0010</x:v>
      </x:c>
      <x:c r="C34" s="36" t="n">
        <x:v>45979</x:v>
      </x:c>
      <x:c r="D34" t="str">
        <x:v>Estrutural</x:v>
      </x:c>
      <x:c r="E34" t="str">
        <x:v>Baixa</x:v>
      </x:c>
      <x:c r="F34" t="str">
        <x:v>Concluído</x:v>
      </x:c>
      <x:c r="G34" t="n">
        <x:v>5</x:v>
      </x:c>
      <x:c r="H34" s="32" t="n">
        <x:v>3420</x:v>
      </x:c>
      <x:c r="I34" t="str">
        <x:v>Imobiliária</x:v>
      </x:c>
      <x:c r="J34" t="n">
        <x:v>1</x:v>
      </x:c>
    </x:row>
    <x:row r="35">
      <x:c r="A35" t="str">
        <x:v>CH-00034</x:v>
      </x:c>
      <x:c r="B35" t="str">
        <x:v>IMV-0010</x:v>
      </x:c>
      <x:c r="C35" s="36" t="n">
        <x:v>45923</x:v>
      </x:c>
      <x:c r="D35" t="str">
        <x:v>Hidráulica</x:v>
      </x:c>
      <x:c r="E35" t="str">
        <x:v>Baixa</x:v>
      </x:c>
      <x:c r="F35" t="str">
        <x:v>Em andamento</x:v>
      </x:c>
      <x:c r="G35" t="n">
        <x:v>314</x:v>
      </x:c>
      <x:c r="H35" s="32" t="n">
        <x:v>1340</x:v>
      </x:c>
      <x:c r="I35" t="str">
        <x:v>Inquilino</x:v>
      </x:c>
      <x:c r="J35"/>
    </x:row>
    <x:row r="36">
      <x:c r="A36" t="str">
        <x:v>CH-00035</x:v>
      </x:c>
      <x:c r="B36" t="str">
        <x:v>IMV-0010</x:v>
      </x:c>
      <x:c r="C36" s="36" t="n">
        <x:v>45875</x:v>
      </x:c>
      <x:c r="D36" t="str">
        <x:v>Chaves/Fechadura</x:v>
      </x:c>
      <x:c r="E36" t="str">
        <x:v>Crítica</x:v>
      </x:c>
      <x:c r="F36" t="str">
        <x:v>Concluído</x:v>
      </x:c>
      <x:c r="G36" t="n">
        <x:v>17</x:v>
      </x:c>
      <x:c r="H36" s="32" t="n">
        <x:v>4020</x:v>
      </x:c>
      <x:c r="I36" t="str">
        <x:v>Imobiliária</x:v>
      </x:c>
      <x:c r="J36" t="n">
        <x:v>5</x:v>
      </x:c>
    </x:row>
    <x:row r="37">
      <x:c r="A37" t="str">
        <x:v>CH-00036</x:v>
      </x:c>
      <x:c r="B37" t="str">
        <x:v>IMV-0010</x:v>
      </x:c>
      <x:c r="C37" s="36" t="n">
        <x:v>46112</x:v>
      </x:c>
      <x:c r="D37" t="str">
        <x:v>Chaves/Fechadura</x:v>
      </x:c>
      <x:c r="E37" t="str">
        <x:v>Baixa</x:v>
      </x:c>
      <x:c r="F37" t="str">
        <x:v>Concluído</x:v>
      </x:c>
      <x:c r="G37" t="n">
        <x:v>15</x:v>
      </x:c>
      <x:c r="H37" s="32" t="n">
        <x:v>1430</x:v>
      </x:c>
      <x:c r="I37" t="str">
        <x:v>Inquilino</x:v>
      </x:c>
      <x:c r="J37" t="n">
        <x:v>2</x:v>
      </x:c>
    </x:row>
    <x:row r="38">
      <x:c r="A38" t="str">
        <x:v>CH-00037</x:v>
      </x:c>
      <x:c r="B38" t="str">
        <x:v>IMV-0010</x:v>
      </x:c>
      <x:c r="C38" s="36" t="n">
        <x:v>46010</x:v>
      </x:c>
      <x:c r="D38" t="str">
        <x:v>Chaves/Fechadura</x:v>
      </x:c>
      <x:c r="E38" t="str">
        <x:v>Baixa</x:v>
      </x:c>
      <x:c r="F38" t="str">
        <x:v>Aguardando proprietário</x:v>
      </x:c>
      <x:c r="G38" t="n">
        <x:v>227</x:v>
      </x:c>
      <x:c r="H38" s="32" t="n">
        <x:v>4180</x:v>
      </x:c>
      <x:c r="I38" t="str">
        <x:v>Inquilino</x:v>
      </x:c>
      <x:c r="J38"/>
    </x:row>
    <x:row r="39">
      <x:c r="A39" t="str">
        <x:v>CH-00038</x:v>
      </x:c>
      <x:c r="B39" t="str">
        <x:v>IMV-0010</x:v>
      </x:c>
      <x:c r="C39" s="36" t="n">
        <x:v>45981</x:v>
      </x:c>
      <x:c r="D39" t="str">
        <x:v>Estrutural</x:v>
      </x:c>
      <x:c r="E39" t="str">
        <x:v>Baixa</x:v>
      </x:c>
      <x:c r="F39" t="str">
        <x:v>Concluído</x:v>
      </x:c>
      <x:c r="G39" t="n">
        <x:v>10</x:v>
      </x:c>
      <x:c r="H39" s="32" t="n">
        <x:v>3230</x:v>
      </x:c>
      <x:c r="I39" t="str">
        <x:v>Proprietário</x:v>
      </x:c>
      <x:c r="J39" t="n">
        <x:v>4</x:v>
      </x:c>
    </x:row>
    <x:row r="40">
      <x:c r="A40" t="str">
        <x:v>CH-00039</x:v>
      </x:c>
      <x:c r="B40" t="str">
        <x:v>IMV-0010</x:v>
      </x:c>
      <x:c r="C40" s="36" t="n">
        <x:v>45953</x:v>
      </x:c>
      <x:c r="D40" t="str">
        <x:v>Elétrica</x:v>
      </x:c>
      <x:c r="E40" t="str">
        <x:v>Baixa</x:v>
      </x:c>
      <x:c r="F40" t="str">
        <x:v>Concluído</x:v>
      </x:c>
      <x:c r="G40" t="n">
        <x:v>13</x:v>
      </x:c>
      <x:c r="H40" s="32" t="n">
        <x:v>3080</x:v>
      </x:c>
      <x:c r="I40" t="str">
        <x:v>Imobiliária</x:v>
      </x:c>
      <x:c r="J40" t="n">
        <x:v>2</x:v>
      </x:c>
    </x:row>
    <x:row r="41">
      <x:c r="A41" t="str">
        <x:v>CH-00040</x:v>
      </x:c>
      <x:c r="B41" t="str">
        <x:v>IMV-0011</x:v>
      </x:c>
      <x:c r="C41" s="36" t="n">
        <x:v>46042</x:v>
      </x:c>
      <x:c r="D41" t="str">
        <x:v>Chaves/Fechadura</x:v>
      </x:c>
      <x:c r="E41" t="str">
        <x:v>Alta</x:v>
      </x:c>
      <x:c r="F41" t="str">
        <x:v>Aguardando prestador</x:v>
      </x:c>
      <x:c r="G41" t="n">
        <x:v>195</x:v>
      </x:c>
      <x:c r="H41" s="32" t="n">
        <x:v>4170</x:v>
      </x:c>
      <x:c r="I41" t="str">
        <x:v>Inquilino</x:v>
      </x:c>
      <x:c r="J41"/>
    </x:row>
    <x:row r="42">
      <x:c r="A42" t="str">
        <x:v>CH-00041</x:v>
      </x:c>
      <x:c r="B42" t="str">
        <x:v>IMV-0011</x:v>
      </x:c>
      <x:c r="C42" s="36" t="n">
        <x:v>46190</x:v>
      </x:c>
      <x:c r="D42" t="str">
        <x:v>Pintura</x:v>
      </x:c>
      <x:c r="E42" t="str">
        <x:v>Baixa</x:v>
      </x:c>
      <x:c r="F42" t="str">
        <x:v>Em andamento</x:v>
      </x:c>
      <x:c r="G42" t="n">
        <x:v>47</x:v>
      </x:c>
      <x:c r="H42" s="32" t="n">
        <x:v>3880</x:v>
      </x:c>
      <x:c r="I42" t="str">
        <x:v>Imobiliária</x:v>
      </x:c>
      <x:c r="J42"/>
    </x:row>
    <x:row r="43">
      <x:c r="A43" t="str">
        <x:v>CH-00042</x:v>
      </x:c>
      <x:c r="B43" t="str">
        <x:v>IMV-0011</x:v>
      </x:c>
      <x:c r="C43" s="36" t="n">
        <x:v>45976</x:v>
      </x:c>
      <x:c r="D43" t="str">
        <x:v>Hidráulica</x:v>
      </x:c>
      <x:c r="E43" t="str">
        <x:v>Baixa</x:v>
      </x:c>
      <x:c r="F43" t="str">
        <x:v>Concluído</x:v>
      </x:c>
      <x:c r="G43" t="n">
        <x:v>10</x:v>
      </x:c>
      <x:c r="H43" s="32" t="n">
        <x:v>1600</x:v>
      </x:c>
      <x:c r="I43" t="str">
        <x:v>Proprietário</x:v>
      </x:c>
      <x:c r="J43" t="n">
        <x:v>2</x:v>
      </x:c>
    </x:row>
    <x:row r="44">
      <x:c r="A44" t="str">
        <x:v>CH-00043</x:v>
      </x:c>
      <x:c r="B44" t="str">
        <x:v>IMV-0011</x:v>
      </x:c>
      <x:c r="C44" s="36" t="n">
        <x:v>46012</x:v>
      </x:c>
      <x:c r="D44" t="str">
        <x:v>Hidráulica</x:v>
      </x:c>
      <x:c r="E44" t="str">
        <x:v>Alta</x:v>
      </x:c>
      <x:c r="F44" t="str">
        <x:v>Concluído</x:v>
      </x:c>
      <x:c r="G44" t="n">
        <x:v>12</x:v>
      </x:c>
      <x:c r="H44" s="32" t="n">
        <x:v>1910</x:v>
      </x:c>
      <x:c r="I44" t="str">
        <x:v>Proprietário</x:v>
      </x:c>
      <x:c r="J44" t="n">
        <x:v>4</x:v>
      </x:c>
    </x:row>
    <x:row r="45">
      <x:c r="A45" t="str">
        <x:v>CH-00044</x:v>
      </x:c>
      <x:c r="B45" t="str">
        <x:v>IMV-0012</x:v>
      </x:c>
      <x:c r="C45" s="36" t="n">
        <x:v>46102</x:v>
      </x:c>
      <x:c r="D45" t="str">
        <x:v>Estrutural</x:v>
      </x:c>
      <x:c r="E45" t="str">
        <x:v>Média</x:v>
      </x:c>
      <x:c r="F45" t="str">
        <x:v>Aguardando proprietário</x:v>
      </x:c>
      <x:c r="G45" t="n">
        <x:v>135</x:v>
      </x:c>
      <x:c r="H45" s="32" t="n">
        <x:v>720</x:v>
      </x:c>
      <x:c r="I45" t="str">
        <x:v>Inquilino</x:v>
      </x:c>
      <x:c r="J45"/>
    </x:row>
    <x:row r="46">
      <x:c r="A46" t="str">
        <x:v>CH-00045</x:v>
      </x:c>
      <x:c r="B46" t="str">
        <x:v>IMV-0012</x:v>
      </x:c>
      <x:c r="C46" s="36" t="n">
        <x:v>46078</x:v>
      </x:c>
      <x:c r="D46" t="str">
        <x:v>Estrutural</x:v>
      </x:c>
      <x:c r="E46" t="str">
        <x:v>Alta</x:v>
      </x:c>
      <x:c r="F46" t="str">
        <x:v>Concluído</x:v>
      </x:c>
      <x:c r="G46" t="n">
        <x:v>23</x:v>
      </x:c>
      <x:c r="H46" s="32" t="n">
        <x:v>2430</x:v>
      </x:c>
      <x:c r="I46" t="str">
        <x:v>Inquilino</x:v>
      </x:c>
      <x:c r="J46" t="n">
        <x:v>3</x:v>
      </x:c>
    </x:row>
    <x:row r="47">
      <x:c r="A47" t="str">
        <x:v>CH-00046</x:v>
      </x:c>
      <x:c r="B47" t="str">
        <x:v>IMV-0012</x:v>
      </x:c>
      <x:c r="C47" s="36" t="n">
        <x:v>46023</x:v>
      </x:c>
      <x:c r="D47" t="str">
        <x:v>Pintura</x:v>
      </x:c>
      <x:c r="E47" t="str">
        <x:v>Alta</x:v>
      </x:c>
      <x:c r="F47" t="str">
        <x:v>Concluído</x:v>
      </x:c>
      <x:c r="G47" t="n">
        <x:v>24</x:v>
      </x:c>
      <x:c r="H47" s="32" t="n">
        <x:v>850</x:v>
      </x:c>
      <x:c r="I47" t="str">
        <x:v>Imobiliária</x:v>
      </x:c>
      <x:c r="J47" t="n">
        <x:v>1</x:v>
      </x:c>
    </x:row>
    <x:row r="48">
      <x:c r="A48" t="str">
        <x:v>CH-00047</x:v>
      </x:c>
      <x:c r="B48" t="str">
        <x:v>IMV-0012</x:v>
      </x:c>
      <x:c r="C48" s="36" t="n">
        <x:v>45929</x:v>
      </x:c>
      <x:c r="D48" t="str">
        <x:v>Pintura</x:v>
      </x:c>
      <x:c r="E48" t="str">
        <x:v>Alta</x:v>
      </x:c>
      <x:c r="F48" t="str">
        <x:v>Concluído</x:v>
      </x:c>
      <x:c r="G48" t="n">
        <x:v>22</x:v>
      </x:c>
      <x:c r="H48" s="32" t="n">
        <x:v>2230</x:v>
      </x:c>
      <x:c r="I48" t="str">
        <x:v>Proprietário</x:v>
      </x:c>
      <x:c r="J48" t="n">
        <x:v>5</x:v>
      </x:c>
    </x:row>
    <x:row r="49">
      <x:c r="A49" t="str">
        <x:v>CH-00048</x:v>
      </x:c>
      <x:c r="B49" t="str">
        <x:v>IMV-0013</x:v>
      </x:c>
      <x:c r="C49" s="36" t="n">
        <x:v>46019</x:v>
      </x:c>
      <x:c r="D49" t="str">
        <x:v>Eletrodoméstico</x:v>
      </x:c>
      <x:c r="E49" t="str">
        <x:v>Baixa</x:v>
      </x:c>
      <x:c r="F49" t="str">
        <x:v>Concluído</x:v>
      </x:c>
      <x:c r="G49" t="n">
        <x:v>12</x:v>
      </x:c>
      <x:c r="H49" s="32" t="n">
        <x:v>1520</x:v>
      </x:c>
      <x:c r="I49" t="str">
        <x:v>Proprietário</x:v>
      </x:c>
      <x:c r="J49" t="n">
        <x:v>2</x:v>
      </x:c>
    </x:row>
    <x:row r="50">
      <x:c r="A50" t="str">
        <x:v>CH-00049</x:v>
      </x:c>
      <x:c r="B50" t="str">
        <x:v>IMV-0013</x:v>
      </x:c>
      <x:c r="C50" s="36" t="n">
        <x:v>46034</x:v>
      </x:c>
      <x:c r="D50" t="str">
        <x:v>Estrutural</x:v>
      </x:c>
      <x:c r="E50" t="str">
        <x:v>Baixa</x:v>
      </x:c>
      <x:c r="F50" t="str">
        <x:v>Concluído</x:v>
      </x:c>
      <x:c r="G50" t="n">
        <x:v>3</x:v>
      </x:c>
      <x:c r="H50" s="32" t="n">
        <x:v>2460</x:v>
      </x:c>
      <x:c r="I50" t="str">
        <x:v>Inquilino</x:v>
      </x:c>
      <x:c r="J50" t="n">
        <x:v>1</x:v>
      </x:c>
    </x:row>
    <x:row r="51">
      <x:c r="A51" t="str">
        <x:v>CH-00050</x:v>
      </x:c>
      <x:c r="B51" t="str">
        <x:v>IMV-0013</x:v>
      </x:c>
      <x:c r="C51" s="36" t="n">
        <x:v>46115</x:v>
      </x:c>
      <x:c r="D51" t="str">
        <x:v>Hidráulica</x:v>
      </x:c>
      <x:c r="E51" t="str">
        <x:v>Crítica</x:v>
      </x:c>
      <x:c r="F51" t="str">
        <x:v>Concluído</x:v>
      </x:c>
      <x:c r="G51" t="n">
        <x:v>6</x:v>
      </x:c>
      <x:c r="H51" s="32" t="n">
        <x:v>290</x:v>
      </x:c>
      <x:c r="I51" t="str">
        <x:v>Imobiliária</x:v>
      </x:c>
      <x:c r="J51" t="n">
        <x:v>3</x:v>
      </x:c>
    </x:row>
    <x:row r="52">
      <x:c r="A52" t="str">
        <x:v>CH-00051</x:v>
      </x:c>
      <x:c r="B52" t="str">
        <x:v>IMV-0014</x:v>
      </x:c>
      <x:c r="C52" s="36" t="n">
        <x:v>45988</x:v>
      </x:c>
      <x:c r="D52" t="str">
        <x:v>Pintura</x:v>
      </x:c>
      <x:c r="E52" t="str">
        <x:v>Baixa</x:v>
      </x:c>
      <x:c r="F52" t="str">
        <x:v>Aguardando proprietário</x:v>
      </x:c>
      <x:c r="G52" t="n">
        <x:v>249</x:v>
      </x:c>
      <x:c r="H52" s="32" t="n">
        <x:v>1000</x:v>
      </x:c>
      <x:c r="I52" t="str">
        <x:v>Proprietário</x:v>
      </x:c>
      <x:c r="J52"/>
    </x:row>
    <x:row r="53">
      <x:c r="A53" t="str">
        <x:v>CH-00052</x:v>
      </x:c>
      <x:c r="B53" t="str">
        <x:v>IMV-0014</x:v>
      </x:c>
      <x:c r="C53" s="36" t="n">
        <x:v>46152</x:v>
      </x:c>
      <x:c r="D53" t="str">
        <x:v>Estrutural</x:v>
      </x:c>
      <x:c r="E53" t="str">
        <x:v>Alta</x:v>
      </x:c>
      <x:c r="F53" t="str">
        <x:v>Em andamento</x:v>
      </x:c>
      <x:c r="G53" t="n">
        <x:v>85</x:v>
      </x:c>
      <x:c r="H53" s="32" t="n">
        <x:v>3160</x:v>
      </x:c>
      <x:c r="I53" t="str">
        <x:v>Inquilino</x:v>
      </x:c>
      <x:c r="J53"/>
    </x:row>
    <x:row r="54">
      <x:c r="A54" t="str">
        <x:v>CH-00053</x:v>
      </x:c>
      <x:c r="B54" t="str">
        <x:v>IMV-0014</x:v>
      </x:c>
      <x:c r="C54" s="36" t="n">
        <x:v>46121</x:v>
      </x:c>
      <x:c r="D54" t="str">
        <x:v>Elétrica</x:v>
      </x:c>
      <x:c r="E54" t="str">
        <x:v>Alta</x:v>
      </x:c>
      <x:c r="F54" t="str">
        <x:v>Em andamento</x:v>
      </x:c>
      <x:c r="G54" t="n">
        <x:v>116</x:v>
      </x:c>
      <x:c r="H54" s="32" t="n">
        <x:v>3720</x:v>
      </x:c>
      <x:c r="I54" t="str">
        <x:v>Imobiliária</x:v>
      </x:c>
      <x:c r="J54"/>
    </x:row>
    <x:row r="55">
      <x:c r="A55" t="str">
        <x:v>CH-00054</x:v>
      </x:c>
      <x:c r="B55" t="str">
        <x:v>IMV-0014</x:v>
      </x:c>
      <x:c r="C55" s="36" t="n">
        <x:v>45877</x:v>
      </x:c>
      <x:c r="D55" t="str">
        <x:v>Eletrodoméstico</x:v>
      </x:c>
      <x:c r="E55" t="str">
        <x:v>Alta</x:v>
      </x:c>
      <x:c r="F55" t="str">
        <x:v>Concluído</x:v>
      </x:c>
      <x:c r="G55" t="n">
        <x:v>15</x:v>
      </x:c>
      <x:c r="H55" s="32" t="n">
        <x:v>3790</x:v>
      </x:c>
      <x:c r="I55" t="str">
        <x:v>Proprietário</x:v>
      </x:c>
      <x:c r="J55" t="n">
        <x:v>4</x:v>
      </x:c>
    </x:row>
    <x:row r="56">
      <x:c r="A56" t="str">
        <x:v>CH-00055</x:v>
      </x:c>
      <x:c r="B56" t="str">
        <x:v>IMV-0015</x:v>
      </x:c>
      <x:c r="C56" s="36" t="n">
        <x:v>46127</x:v>
      </x:c>
      <x:c r="D56" t="str">
        <x:v>Chaves/Fechadura</x:v>
      </x:c>
      <x:c r="E56" t="str">
        <x:v>Crítica</x:v>
      </x:c>
      <x:c r="F56" t="str">
        <x:v>Em andamento</x:v>
      </x:c>
      <x:c r="G56" t="n">
        <x:v>110</x:v>
      </x:c>
      <x:c r="H56" s="32" t="n">
        <x:v>2870</x:v>
      </x:c>
      <x:c r="I56" t="str">
        <x:v>Inquilino</x:v>
      </x:c>
      <x:c r="J56"/>
    </x:row>
    <x:row r="57">
      <x:c r="A57" t="str">
        <x:v>CH-00056</x:v>
      </x:c>
      <x:c r="B57" t="str">
        <x:v>IMV-0015</x:v>
      </x:c>
      <x:c r="C57" s="36" t="n">
        <x:v>46005</x:v>
      </x:c>
      <x:c r="D57" t="str">
        <x:v>Hidráulica</x:v>
      </x:c>
      <x:c r="E57" t="str">
        <x:v>Média</x:v>
      </x:c>
      <x:c r="F57" t="str">
        <x:v>Concluído</x:v>
      </x:c>
      <x:c r="G57" t="n">
        <x:v>6</x:v>
      </x:c>
      <x:c r="H57" s="32" t="n">
        <x:v>4460</x:v>
      </x:c>
      <x:c r="I57" t="str">
        <x:v>Imobiliária</x:v>
      </x:c>
      <x:c r="J57" t="n">
        <x:v>4</x:v>
      </x:c>
    </x:row>
    <x:row r="58">
      <x:c r="A58" t="str">
        <x:v>CH-00057</x:v>
      </x:c>
      <x:c r="B58" t="str">
        <x:v>IMV-0015</x:v>
      </x:c>
      <x:c r="C58" s="36" t="n">
        <x:v>45974</x:v>
      </x:c>
      <x:c r="D58" t="str">
        <x:v>Pintura</x:v>
      </x:c>
      <x:c r="E58" t="str">
        <x:v>Crítica</x:v>
      </x:c>
      <x:c r="F58" t="str">
        <x:v>Em andamento</x:v>
      </x:c>
      <x:c r="G58" t="n">
        <x:v>263</x:v>
      </x:c>
      <x:c r="H58" s="32" t="n">
        <x:v>1110</x:v>
      </x:c>
      <x:c r="I58" t="str">
        <x:v>Imobiliária</x:v>
      </x:c>
      <x:c r="J58"/>
    </x:row>
    <x:row r="59">
      <x:c r="A59" t="str">
        <x:v>CH-00058</x:v>
      </x:c>
      <x:c r="B59" t="str">
        <x:v>IMV-0016</x:v>
      </x:c>
      <x:c r="C59" s="36" t="n">
        <x:v>46192</x:v>
      </x:c>
      <x:c r="D59" t="str">
        <x:v>Estrutural</x:v>
      </x:c>
      <x:c r="E59" t="str">
        <x:v>Média</x:v>
      </x:c>
      <x:c r="F59" t="str">
        <x:v>Concluído</x:v>
      </x:c>
      <x:c r="G59" t="n">
        <x:v>24</x:v>
      </x:c>
      <x:c r="H59" s="32" t="n">
        <x:v>3510</x:v>
      </x:c>
      <x:c r="I59" t="str">
        <x:v>Proprietário</x:v>
      </x:c>
      <x:c r="J59" t="n">
        <x:v>5</x:v>
      </x:c>
    </x:row>
    <x:row r="60">
      <x:c r="A60" t="str">
        <x:v>CH-00059</x:v>
      </x:c>
      <x:c r="B60" t="str">
        <x:v>IMV-0016</x:v>
      </x:c>
      <x:c r="C60" s="36" t="n">
        <x:v>46134</x:v>
      </x:c>
      <x:c r="D60" t="str">
        <x:v>Elétrica</x:v>
      </x:c>
      <x:c r="E60" t="str">
        <x:v>Crítica</x:v>
      </x:c>
      <x:c r="F60" t="str">
        <x:v>Concluído</x:v>
      </x:c>
      <x:c r="G60" t="n">
        <x:v>21</x:v>
      </x:c>
      <x:c r="H60" s="32" t="n">
        <x:v>500</x:v>
      </x:c>
      <x:c r="I60" t="str">
        <x:v>Proprietário</x:v>
      </x:c>
      <x:c r="J60" t="n">
        <x:v>5</x:v>
      </x:c>
    </x:row>
    <x:row r="61">
      <x:c r="A61" t="str">
        <x:v>CH-00060</x:v>
      </x:c>
      <x:c r="B61" t="str">
        <x:v>IMV-0016</x:v>
      </x:c>
      <x:c r="C61" s="36" t="n">
        <x:v>45939</x:v>
      </x:c>
      <x:c r="D61" t="str">
        <x:v>Estrutural</x:v>
      </x:c>
      <x:c r="E61" t="str">
        <x:v>Baixa</x:v>
      </x:c>
      <x:c r="F61" t="str">
        <x:v>Concluído</x:v>
      </x:c>
      <x:c r="G61" t="n">
        <x:v>23</x:v>
      </x:c>
      <x:c r="H61" s="32" t="n">
        <x:v>4320</x:v>
      </x:c>
      <x:c r="I61" t="str">
        <x:v>Proprietário</x:v>
      </x:c>
      <x:c r="J61" t="n">
        <x:v>4</x:v>
      </x:c>
    </x:row>
    <x:row r="62">
      <x:c r="A62" t="str">
        <x:v>CH-00061</x:v>
      </x:c>
      <x:c r="B62" t="str">
        <x:v>IMV-0016</x:v>
      </x:c>
      <x:c r="C62" s="36" t="n">
        <x:v>45907</x:v>
      </x:c>
      <x:c r="D62" t="str">
        <x:v>Eletrodoméstico</x:v>
      </x:c>
      <x:c r="E62" t="str">
        <x:v>Baixa</x:v>
      </x:c>
      <x:c r="F62" t="str">
        <x:v>Em andamento</x:v>
      </x:c>
      <x:c r="G62" t="n">
        <x:v>330</x:v>
      </x:c>
      <x:c r="H62" s="32" t="n">
        <x:v>320</x:v>
      </x:c>
      <x:c r="I62" t="str">
        <x:v>Imobiliária</x:v>
      </x:c>
      <x:c r="J62"/>
    </x:row>
    <x:row r="63">
      <x:c r="A63" t="str">
        <x:v>CH-00062</x:v>
      </x:c>
      <x:c r="B63" t="str">
        <x:v>IMV-0016</x:v>
      </x:c>
      <x:c r="C63" s="36" t="n">
        <x:v>45936</x:v>
      </x:c>
      <x:c r="D63" t="str">
        <x:v>Hidráulica</x:v>
      </x:c>
      <x:c r="E63" t="str">
        <x:v>Média</x:v>
      </x:c>
      <x:c r="F63" t="str">
        <x:v>Em andamento</x:v>
      </x:c>
      <x:c r="G63" t="n">
        <x:v>301</x:v>
      </x:c>
      <x:c r="H63" s="32" t="n">
        <x:v>1470</x:v>
      </x:c>
      <x:c r="I63" t="str">
        <x:v>Imobiliária</x:v>
      </x:c>
      <x:c r="J63"/>
    </x:row>
    <x:row r="64">
      <x:c r="A64" t="str">
        <x:v>CH-00063</x:v>
      </x:c>
      <x:c r="B64" t="str">
        <x:v>IMV-0016</x:v>
      </x:c>
      <x:c r="C64" s="36" t="n">
        <x:v>46122</x:v>
      </x:c>
      <x:c r="D64" t="str">
        <x:v>Pintura</x:v>
      </x:c>
      <x:c r="E64" t="str">
        <x:v>Baixa</x:v>
      </x:c>
      <x:c r="F64" t="str">
        <x:v>Em andamento</x:v>
      </x:c>
      <x:c r="G64" t="n">
        <x:v>115</x:v>
      </x:c>
      <x:c r="H64" s="32" t="n">
        <x:v>850</x:v>
      </x:c>
      <x:c r="I64" t="str">
        <x:v>Proprietário</x:v>
      </x:c>
      <x:c r="J64"/>
    </x:row>
    <x:row r="65">
      <x:c r="A65" t="str">
        <x:v>CH-00064</x:v>
      </x:c>
      <x:c r="B65" t="str">
        <x:v>IMV-0016</x:v>
      </x:c>
      <x:c r="C65" s="36" t="n">
        <x:v>45872</x:v>
      </x:c>
      <x:c r="D65" t="str">
        <x:v>Chaves/Fechadura</x:v>
      </x:c>
      <x:c r="E65" t="str">
        <x:v>Alta</x:v>
      </x:c>
      <x:c r="F65" t="str">
        <x:v>Concluído</x:v>
      </x:c>
      <x:c r="G65" t="n">
        <x:v>4</x:v>
      </x:c>
      <x:c r="H65" s="32" t="n">
        <x:v>1540</x:v>
      </x:c>
      <x:c r="I65" t="str">
        <x:v>Inquilino</x:v>
      </x:c>
      <x:c r="J65" t="n">
        <x:v>4</x:v>
      </x:c>
    </x:row>
    <x:row r="66">
      <x:c r="A66" t="str">
        <x:v>CH-00065</x:v>
      </x:c>
      <x:c r="B66" t="str">
        <x:v>IMV-0018</x:v>
      </x:c>
      <x:c r="C66" s="36" t="n">
        <x:v>46152</x:v>
      </x:c>
      <x:c r="D66" t="str">
        <x:v>Chaves/Fechadura</x:v>
      </x:c>
      <x:c r="E66" t="str">
        <x:v>Crítica</x:v>
      </x:c>
      <x:c r="F66" t="str">
        <x:v>Concluído</x:v>
      </x:c>
      <x:c r="G66" t="n">
        <x:v>11</x:v>
      </x:c>
      <x:c r="H66" s="32" t="n">
        <x:v>3300</x:v>
      </x:c>
      <x:c r="I66" t="str">
        <x:v>Proprietário</x:v>
      </x:c>
      <x:c r="J66" t="n">
        <x:v>5</x:v>
      </x:c>
    </x:row>
    <x:row r="67">
      <x:c r="A67" t="str">
        <x:v>CH-00066</x:v>
      </x:c>
      <x:c r="B67" t="str">
        <x:v>IMV-0018</x:v>
      </x:c>
      <x:c r="C67" s="36" t="n">
        <x:v>46007</x:v>
      </x:c>
      <x:c r="D67" t="str">
        <x:v>Pintura</x:v>
      </x:c>
      <x:c r="E67" t="str">
        <x:v>Alta</x:v>
      </x:c>
      <x:c r="F67" t="str">
        <x:v>Concluído</x:v>
      </x:c>
      <x:c r="G67" t="n">
        <x:v>6</x:v>
      </x:c>
      <x:c r="H67" s="32" t="n">
        <x:v>1990</x:v>
      </x:c>
      <x:c r="I67" t="str">
        <x:v>Proprietário</x:v>
      </x:c>
      <x:c r="J67" t="n">
        <x:v>2</x:v>
      </x:c>
    </x:row>
    <x:row r="68">
      <x:c r="A68" t="str">
        <x:v>CH-00067</x:v>
      </x:c>
      <x:c r="B68" t="str">
        <x:v>IMV-0018</x:v>
      </x:c>
      <x:c r="C68" s="36" t="n">
        <x:v>45966</x:v>
      </x:c>
      <x:c r="D68" t="str">
        <x:v>Elétrica</x:v>
      </x:c>
      <x:c r="E68" t="str">
        <x:v>Alta</x:v>
      </x:c>
      <x:c r="F68" t="str">
        <x:v>Concluído</x:v>
      </x:c>
      <x:c r="G68" t="n">
        <x:v>16</x:v>
      </x:c>
      <x:c r="H68" s="32" t="n">
        <x:v>2830</x:v>
      </x:c>
      <x:c r="I68" t="str">
        <x:v>Proprietário</x:v>
      </x:c>
      <x:c r="J68" t="n">
        <x:v>3</x:v>
      </x:c>
    </x:row>
    <x:row r="69">
      <x:c r="A69" t="str">
        <x:v>CH-00068</x:v>
      </x:c>
      <x:c r="B69" t="str">
        <x:v>IMV-0018</x:v>
      </x:c>
      <x:c r="C69" s="36" t="n">
        <x:v>45989</x:v>
      </x:c>
      <x:c r="D69" t="str">
        <x:v>Hidráulica</x:v>
      </x:c>
      <x:c r="E69" t="str">
        <x:v>Baixa</x:v>
      </x:c>
      <x:c r="F69" t="str">
        <x:v>Concluído</x:v>
      </x:c>
      <x:c r="G69" t="n">
        <x:v>9</x:v>
      </x:c>
      <x:c r="H69" s="32" t="n">
        <x:v>680</x:v>
      </x:c>
      <x:c r="I69" t="str">
        <x:v>Inquilino</x:v>
      </x:c>
      <x:c r="J69" t="n">
        <x:v>2</x:v>
      </x:c>
    </x:row>
    <x:row r="70">
      <x:c r="A70" t="str">
        <x:v>CH-00069</x:v>
      </x:c>
      <x:c r="B70" t="str">
        <x:v>IMV-0018</x:v>
      </x:c>
      <x:c r="C70" s="36" t="n">
        <x:v>46084</x:v>
      </x:c>
      <x:c r="D70" t="str">
        <x:v>Chaves/Fechadura</x:v>
      </x:c>
      <x:c r="E70" t="str">
        <x:v>Crítica</x:v>
      </x:c>
      <x:c r="F70" t="str">
        <x:v>Concluído</x:v>
      </x:c>
      <x:c r="G70" t="n">
        <x:v>21</x:v>
      </x:c>
      <x:c r="H70" s="32" t="n">
        <x:v>510</x:v>
      </x:c>
      <x:c r="I70" t="str">
        <x:v>Proprietário</x:v>
      </x:c>
      <x:c r="J70" t="n">
        <x:v>1</x:v>
      </x:c>
    </x:row>
    <x:row r="71">
      <x:c r="A71" t="str">
        <x:v>CH-00070</x:v>
      </x:c>
      <x:c r="B71" t="str">
        <x:v>IMV-0019</x:v>
      </x:c>
      <x:c r="C71" s="36" t="n">
        <x:v>46051</x:v>
      </x:c>
      <x:c r="D71" t="str">
        <x:v>Estrutural</x:v>
      </x:c>
      <x:c r="E71" t="str">
        <x:v>Alta</x:v>
      </x:c>
      <x:c r="F71" t="str">
        <x:v>Concluído</x:v>
      </x:c>
      <x:c r="G71" t="n">
        <x:v>18</x:v>
      </x:c>
      <x:c r="H71" s="32" t="n">
        <x:v>3560</x:v>
      </x:c>
      <x:c r="I71" t="str">
        <x:v>Inquilino</x:v>
      </x:c>
      <x:c r="J71" t="n">
        <x:v>3</x:v>
      </x:c>
    </x:row>
    <x:row r="72">
      <x:c r="A72" t="str">
        <x:v>CH-00071</x:v>
      </x:c>
      <x:c r="B72" t="str">
        <x:v>IMV-0019</x:v>
      </x:c>
      <x:c r="C72" s="36" t="n">
        <x:v>46069</x:v>
      </x:c>
      <x:c r="D72" t="str">
        <x:v>Pintura</x:v>
      </x:c>
      <x:c r="E72" t="str">
        <x:v>Crítica</x:v>
      </x:c>
      <x:c r="F72" t="str">
        <x:v>Concluído</x:v>
      </x:c>
      <x:c r="G72" t="n">
        <x:v>16</x:v>
      </x:c>
      <x:c r="H72" s="32" t="n">
        <x:v>700</x:v>
      </x:c>
      <x:c r="I72" t="str">
        <x:v>Proprietário</x:v>
      </x:c>
      <x:c r="J72" t="n">
        <x:v>5</x:v>
      </x:c>
    </x:row>
    <x:row r="73">
      <x:c r="A73" t="str">
        <x:v>CH-00072</x:v>
      </x:c>
      <x:c r="B73" t="str">
        <x:v>IMV-0020</x:v>
      </x:c>
      <x:c r="C73" s="36" t="n">
        <x:v>46165</x:v>
      </x:c>
      <x:c r="D73" t="str">
        <x:v>Estrutural</x:v>
      </x:c>
      <x:c r="E73" t="str">
        <x:v>Alta</x:v>
      </x:c>
      <x:c r="F73" t="str">
        <x:v>Em andamento</x:v>
      </x:c>
      <x:c r="G73" t="n">
        <x:v>72</x:v>
      </x:c>
      <x:c r="H73" s="32" t="n">
        <x:v>2900</x:v>
      </x:c>
      <x:c r="I73" t="str">
        <x:v>Inquilino</x:v>
      </x:c>
      <x:c r="J73"/>
    </x:row>
    <x:row r="74">
      <x:c r="A74" t="str">
        <x:v>CH-00073</x:v>
      </x:c>
      <x:c r="B74" t="str">
        <x:v>IMV-0020</x:v>
      </x:c>
      <x:c r="C74" s="36" t="n">
        <x:v>46059</x:v>
      </x:c>
      <x:c r="D74" t="str">
        <x:v>Estrutural</x:v>
      </x:c>
      <x:c r="E74" t="str">
        <x:v>Baixa</x:v>
      </x:c>
      <x:c r="F74" t="str">
        <x:v>Concluído</x:v>
      </x:c>
      <x:c r="G74" t="n">
        <x:v>9</x:v>
      </x:c>
      <x:c r="H74" s="32" t="n">
        <x:v>4020</x:v>
      </x:c>
      <x:c r="I74" t="str">
        <x:v>Inquilino</x:v>
      </x:c>
      <x:c r="J74" t="n">
        <x:v>4</x:v>
      </x:c>
    </x:row>
    <x:row r="75">
      <x:c r="A75" t="str">
        <x:v>CH-00074</x:v>
      </x:c>
      <x:c r="B75" t="str">
        <x:v>IMV-0021</x:v>
      </x:c>
      <x:c r="C75" s="36" t="n">
        <x:v>46054</x:v>
      </x:c>
      <x:c r="D75" t="str">
        <x:v>Chaves/Fechadura</x:v>
      </x:c>
      <x:c r="E75" t="str">
        <x:v>Baixa</x:v>
      </x:c>
      <x:c r="F75" t="str">
        <x:v>Aguardando proprietário</x:v>
      </x:c>
      <x:c r="G75" t="n">
        <x:v>183</x:v>
      </x:c>
      <x:c r="H75" s="32" t="n">
        <x:v>3560</x:v>
      </x:c>
      <x:c r="I75" t="str">
        <x:v>Proprietário</x:v>
      </x:c>
      <x:c r="J75"/>
    </x:row>
    <x:row r="76">
      <x:c r="A76" t="str">
        <x:v>CH-00075</x:v>
      </x:c>
      <x:c r="B76" t="str">
        <x:v>IMV-0021</x:v>
      </x:c>
      <x:c r="C76" s="36" t="n">
        <x:v>45916</x:v>
      </x:c>
      <x:c r="D76" t="str">
        <x:v>Pintura</x:v>
      </x:c>
      <x:c r="E76" t="str">
        <x:v>Baixa</x:v>
      </x:c>
      <x:c r="F76" t="str">
        <x:v>Em andamento</x:v>
      </x:c>
      <x:c r="G76" t="n">
        <x:v>321</x:v>
      </x:c>
      <x:c r="H76" s="32" t="n">
        <x:v>4060</x:v>
      </x:c>
      <x:c r="I76" t="str">
        <x:v>Imobiliária</x:v>
      </x:c>
      <x:c r="J76"/>
    </x:row>
    <x:row r="77">
      <x:c r="A77" t="str">
        <x:v>CH-00076</x:v>
      </x:c>
      <x:c r="B77" t="str">
        <x:v>IMV-0021</x:v>
      </x:c>
      <x:c r="C77" s="36" t="n">
        <x:v>46236</x:v>
      </x:c>
      <x:c r="D77" t="str">
        <x:v>Estrutural</x:v>
      </x:c>
      <x:c r="E77" t="str">
        <x:v>Crítica</x:v>
      </x:c>
      <x:c r="F77" t="str">
        <x:v>Aguardando prestador</x:v>
      </x:c>
      <x:c r="G77" t="n">
        <x:v>1</x:v>
      </x:c>
      <x:c r="H77" s="32" t="n">
        <x:v>3360</x:v>
      </x:c>
      <x:c r="I77" t="str">
        <x:v>Inquilino</x:v>
      </x:c>
      <x:c r="J77"/>
    </x:row>
    <x:row r="78">
      <x:c r="A78" t="str">
        <x:v>CH-00077</x:v>
      </x:c>
      <x:c r="B78" t="str">
        <x:v>IMV-0021</x:v>
      </x:c>
      <x:c r="C78" s="36" t="n">
        <x:v>46145</x:v>
      </x:c>
      <x:c r="D78" t="str">
        <x:v>Elétrica</x:v>
      </x:c>
      <x:c r="E78" t="str">
        <x:v>Baixa</x:v>
      </x:c>
      <x:c r="F78" t="str">
        <x:v>Concluído</x:v>
      </x:c>
      <x:c r="G78" t="n">
        <x:v>6</x:v>
      </x:c>
      <x:c r="H78" s="32" t="n">
        <x:v>1890</x:v>
      </x:c>
      <x:c r="I78" t="str">
        <x:v>Inquilino</x:v>
      </x:c>
      <x:c r="J78" t="n">
        <x:v>3</x:v>
      </x:c>
    </x:row>
    <x:row r="79">
      <x:c r="A79" t="str">
        <x:v>CH-00078</x:v>
      </x:c>
      <x:c r="B79" t="str">
        <x:v>IMV-0021</x:v>
      </x:c>
      <x:c r="C79" s="36" t="n">
        <x:v>46146</x:v>
      </x:c>
      <x:c r="D79" t="str">
        <x:v>Hidráulica</x:v>
      </x:c>
      <x:c r="E79" t="str">
        <x:v>Crítica</x:v>
      </x:c>
      <x:c r="F79" t="str">
        <x:v>Concluído</x:v>
      </x:c>
      <x:c r="G79" t="n">
        <x:v>9</x:v>
      </x:c>
      <x:c r="H79" s="32" t="n">
        <x:v>3360</x:v>
      </x:c>
      <x:c r="I79" t="str">
        <x:v>Inquilino</x:v>
      </x:c>
      <x:c r="J79" t="n">
        <x:v>3</x:v>
      </x:c>
    </x:row>
    <x:row r="80">
      <x:c r="A80" t="str">
        <x:v>CH-00079</x:v>
      </x:c>
      <x:c r="B80" t="str">
        <x:v>IMV-0021</x:v>
      </x:c>
      <x:c r="C80" s="36" t="n">
        <x:v>45882</x:v>
      </x:c>
      <x:c r="D80" t="str">
        <x:v>Chaves/Fechadura</x:v>
      </x:c>
      <x:c r="E80" t="str">
        <x:v>Alta</x:v>
      </x:c>
      <x:c r="F80" t="str">
        <x:v>Concluído</x:v>
      </x:c>
      <x:c r="G80" t="n">
        <x:v>4</x:v>
      </x:c>
      <x:c r="H80" s="32" t="n">
        <x:v>2490</x:v>
      </x:c>
      <x:c r="I80" t="str">
        <x:v>Proprietário</x:v>
      </x:c>
      <x:c r="J80" t="n">
        <x:v>3</x:v>
      </x:c>
    </x:row>
    <x:row r="81">
      <x:c r="A81" t="str">
        <x:v>CH-00080</x:v>
      </x:c>
      <x:c r="B81" t="str">
        <x:v>IMV-0022</x:v>
      </x:c>
      <x:c r="C81" s="36" t="n">
        <x:v>45890</x:v>
      </x:c>
      <x:c r="D81" t="str">
        <x:v>Estrutural</x:v>
      </x:c>
      <x:c r="E81" t="str">
        <x:v>Baixa</x:v>
      </x:c>
      <x:c r="F81" t="str">
        <x:v>Concluído</x:v>
      </x:c>
      <x:c r="G81" t="n">
        <x:v>4</x:v>
      </x:c>
      <x:c r="H81" s="32" t="n">
        <x:v>4360</x:v>
      </x:c>
      <x:c r="I81" t="str">
        <x:v>Inquilino</x:v>
      </x:c>
      <x:c r="J81" t="n">
        <x:v>5</x:v>
      </x:c>
    </x:row>
    <x:row r="82">
      <x:c r="A82" t="str">
        <x:v>CH-00081</x:v>
      </x:c>
      <x:c r="B82" t="str">
        <x:v>IMV-0022</x:v>
      </x:c>
      <x:c r="C82" s="36" t="n">
        <x:v>46002</x:v>
      </x:c>
      <x:c r="D82" t="str">
        <x:v>Hidráulica</x:v>
      </x:c>
      <x:c r="E82" t="str">
        <x:v>Baixa</x:v>
      </x:c>
      <x:c r="F82" t="str">
        <x:v>Aguardando prestador</x:v>
      </x:c>
      <x:c r="G82" t="n">
        <x:v>235</x:v>
      </x:c>
      <x:c r="H82" s="32" t="n">
        <x:v>1550</x:v>
      </x:c>
      <x:c r="I82" t="str">
        <x:v>Imobiliária</x:v>
      </x:c>
      <x:c r="J82"/>
    </x:row>
    <x:row r="83">
      <x:c r="A83" t="str">
        <x:v>CH-00082</x:v>
      </x:c>
      <x:c r="B83" t="str">
        <x:v>IMV-0022</x:v>
      </x:c>
      <x:c r="C83" s="36" t="n">
        <x:v>45926</x:v>
      </x:c>
      <x:c r="D83" t="str">
        <x:v>Pintura</x:v>
      </x:c>
      <x:c r="E83" t="str">
        <x:v>Média</x:v>
      </x:c>
      <x:c r="F83" t="str">
        <x:v>Concluído</x:v>
      </x:c>
      <x:c r="G83" t="n">
        <x:v>6</x:v>
      </x:c>
      <x:c r="H83" s="32" t="n">
        <x:v>3560</x:v>
      </x:c>
      <x:c r="I83" t="str">
        <x:v>Imobiliária</x:v>
      </x:c>
      <x:c r="J83" t="n">
        <x:v>4</x:v>
      </x:c>
    </x:row>
    <x:row r="84">
      <x:c r="A84" t="str">
        <x:v>CH-00083</x:v>
      </x:c>
      <x:c r="B84" t="str">
        <x:v>IMV-0022</x:v>
      </x:c>
      <x:c r="C84" s="36" t="n">
        <x:v>46128</x:v>
      </x:c>
      <x:c r="D84" t="str">
        <x:v>Hidráulica</x:v>
      </x:c>
      <x:c r="E84" t="str">
        <x:v>Alta</x:v>
      </x:c>
      <x:c r="F84" t="str">
        <x:v>Aguardando proprietário</x:v>
      </x:c>
      <x:c r="G84" t="n">
        <x:v>109</x:v>
      </x:c>
      <x:c r="H84" s="32" t="n">
        <x:v>3180</x:v>
      </x:c>
      <x:c r="I84" t="str">
        <x:v>Inquilino</x:v>
      </x:c>
      <x:c r="J84"/>
    </x:row>
    <x:row r="85">
      <x:c r="A85" t="str">
        <x:v>CH-00084</x:v>
      </x:c>
      <x:c r="B85" t="str">
        <x:v>IMV-0023</x:v>
      </x:c>
      <x:c r="C85" s="36" t="n">
        <x:v>46202</x:v>
      </x:c>
      <x:c r="D85" t="str">
        <x:v>Eletrodoméstico</x:v>
      </x:c>
      <x:c r="E85" t="str">
        <x:v>Baixa</x:v>
      </x:c>
      <x:c r="F85" t="str">
        <x:v>Aguardando proprietário</x:v>
      </x:c>
      <x:c r="G85" t="n">
        <x:v>35</x:v>
      </x:c>
      <x:c r="H85" s="32" t="n">
        <x:v>4070</x:v>
      </x:c>
      <x:c r="I85" t="str">
        <x:v>Proprietário</x:v>
      </x:c>
      <x:c r="J85"/>
    </x:row>
    <x:row r="86">
      <x:c r="A86" t="str">
        <x:v>CH-00085</x:v>
      </x:c>
      <x:c r="B86" t="str">
        <x:v>IMV-0023</x:v>
      </x:c>
      <x:c r="C86" s="36" t="n">
        <x:v>46166</x:v>
      </x:c>
      <x:c r="D86" t="str">
        <x:v>Estrutural</x:v>
      </x:c>
      <x:c r="E86" t="str">
        <x:v>Alta</x:v>
      </x:c>
      <x:c r="F86" t="str">
        <x:v>Concluído</x:v>
      </x:c>
      <x:c r="G86" t="n">
        <x:v>25</x:v>
      </x:c>
      <x:c r="H86" s="32" t="n">
        <x:v>2320</x:v>
      </x:c>
      <x:c r="I86" t="str">
        <x:v>Proprietário</x:v>
      </x:c>
      <x:c r="J86" t="n">
        <x:v>2</x:v>
      </x:c>
    </x:row>
    <x:row r="87">
      <x:c r="A87" t="str">
        <x:v>CH-00086</x:v>
      </x:c>
      <x:c r="B87" t="str">
        <x:v>IMV-0024</x:v>
      </x:c>
      <x:c r="C87" s="36" t="n">
        <x:v>45995</x:v>
      </x:c>
      <x:c r="D87" t="str">
        <x:v>Pintura</x:v>
      </x:c>
      <x:c r="E87" t="str">
        <x:v>Crítica</x:v>
      </x:c>
      <x:c r="F87" t="str">
        <x:v>Em andamento</x:v>
      </x:c>
      <x:c r="G87" t="n">
        <x:v>242</x:v>
      </x:c>
      <x:c r="H87" s="32" t="n">
        <x:v>3150</x:v>
      </x:c>
      <x:c r="I87" t="str">
        <x:v>Imobiliária</x:v>
      </x:c>
      <x:c r="J87"/>
    </x:row>
    <x:row r="88">
      <x:c r="A88" t="str">
        <x:v>CH-00087</x:v>
      </x:c>
      <x:c r="B88" t="str">
        <x:v>IMV-0024</x:v>
      </x:c>
      <x:c r="C88" s="36" t="n">
        <x:v>46184</x:v>
      </x:c>
      <x:c r="D88" t="str">
        <x:v>Pintura</x:v>
      </x:c>
      <x:c r="E88" t="str">
        <x:v>Média</x:v>
      </x:c>
      <x:c r="F88" t="str">
        <x:v>Aguardando proprietário</x:v>
      </x:c>
      <x:c r="G88" t="n">
        <x:v>53</x:v>
      </x:c>
      <x:c r="H88" s="32" t="n">
        <x:v>2830</x:v>
      </x:c>
      <x:c r="I88" t="str">
        <x:v>Inquilino</x:v>
      </x:c>
      <x:c r="J88"/>
    </x:row>
    <x:row r="89">
      <x:c r="A89" t="str">
        <x:v>CH-00088</x:v>
      </x:c>
      <x:c r="B89" t="str">
        <x:v>IMV-0024</x:v>
      </x:c>
      <x:c r="C89" s="36" t="n">
        <x:v>45971</x:v>
      </x:c>
      <x:c r="D89" t="str">
        <x:v>Hidráulica</x:v>
      </x:c>
      <x:c r="E89" t="str">
        <x:v>Média</x:v>
      </x:c>
      <x:c r="F89" t="str">
        <x:v>Concluído</x:v>
      </x:c>
      <x:c r="G89" t="n">
        <x:v>24</x:v>
      </x:c>
      <x:c r="H89" s="32" t="n">
        <x:v>1620</x:v>
      </x:c>
      <x:c r="I89" t="str">
        <x:v>Proprietário</x:v>
      </x:c>
      <x:c r="J89" t="n">
        <x:v>1</x:v>
      </x:c>
    </x:row>
    <x:row r="90">
      <x:c r="A90" t="str">
        <x:v>CH-00089</x:v>
      </x:c>
      <x:c r="B90" t="str">
        <x:v>IMV-0024</x:v>
      </x:c>
      <x:c r="C90" s="36" t="n">
        <x:v>45942</x:v>
      </x:c>
      <x:c r="D90" t="str">
        <x:v>Hidráulica</x:v>
      </x:c>
      <x:c r="E90" t="str">
        <x:v>Alta</x:v>
      </x:c>
      <x:c r="F90" t="str">
        <x:v>Concluído</x:v>
      </x:c>
      <x:c r="G90" t="n">
        <x:v>1</x:v>
      </x:c>
      <x:c r="H90" s="32" t="n">
        <x:v>3260</x:v>
      </x:c>
      <x:c r="I90" t="str">
        <x:v>Proprietário</x:v>
      </x:c>
      <x:c r="J90" t="n">
        <x:v>3</x:v>
      </x:c>
    </x:row>
    <x:row r="91">
      <x:c r="A91" t="str">
        <x:v>CH-00090</x:v>
      </x:c>
      <x:c r="B91" t="str">
        <x:v>IMV-0024</x:v>
      </x:c>
      <x:c r="C91" s="36" t="n">
        <x:v>45979</x:v>
      </x:c>
      <x:c r="D91" t="str">
        <x:v>Elétrica</x:v>
      </x:c>
      <x:c r="E91" t="str">
        <x:v>Alta</x:v>
      </x:c>
      <x:c r="F91" t="str">
        <x:v>Concluído</x:v>
      </x:c>
      <x:c r="G91" t="n">
        <x:v>12</x:v>
      </x:c>
      <x:c r="H91" s="32" t="n">
        <x:v>1190</x:v>
      </x:c>
      <x:c r="I91" t="str">
        <x:v>Proprietário</x:v>
      </x:c>
      <x:c r="J91" t="n">
        <x:v>2</x:v>
      </x:c>
    </x:row>
    <x:row r="92">
      <x:c r="A92" t="str">
        <x:v>CH-00091</x:v>
      </x:c>
      <x:c r="B92" t="str">
        <x:v>IMV-0024</x:v>
      </x:c>
      <x:c r="C92" s="36" t="n">
        <x:v>46104</x:v>
      </x:c>
      <x:c r="D92" t="str">
        <x:v>Eletrodoméstico</x:v>
      </x:c>
      <x:c r="E92" t="str">
        <x:v>Crítica</x:v>
      </x:c>
      <x:c r="F92" t="str">
        <x:v>Aguardando proprietário</x:v>
      </x:c>
      <x:c r="G92" t="n">
        <x:v>133</x:v>
      </x:c>
      <x:c r="H92" s="32" t="n">
        <x:v>690</x:v>
      </x:c>
      <x:c r="I92" t="str">
        <x:v>Imobiliária</x:v>
      </x:c>
      <x:c r="J92"/>
    </x:row>
    <x:row r="93">
      <x:c r="A93" t="str">
        <x:v>CH-00092</x:v>
      </x:c>
      <x:c r="B93" t="str">
        <x:v>IMV-0025</x:v>
      </x:c>
      <x:c r="C93" s="36" t="n">
        <x:v>46187</x:v>
      </x:c>
      <x:c r="D93" t="str">
        <x:v>Estrutural</x:v>
      </x:c>
      <x:c r="E93" t="str">
        <x:v>Alta</x:v>
      </x:c>
      <x:c r="F93" t="str">
        <x:v>Concluído</x:v>
      </x:c>
      <x:c r="G93" t="n">
        <x:v>21</x:v>
      </x:c>
      <x:c r="H93" s="32" t="n">
        <x:v>890</x:v>
      </x:c>
      <x:c r="I93" t="str">
        <x:v>Inquilino</x:v>
      </x:c>
      <x:c r="J93" t="n">
        <x:v>5</x:v>
      </x:c>
    </x:row>
    <x:row r="94">
      <x:c r="A94" t="str">
        <x:v>CH-00093</x:v>
      </x:c>
      <x:c r="B94" t="str">
        <x:v>IMV-0025</x:v>
      </x:c>
      <x:c r="C94" s="36" t="n">
        <x:v>46177</x:v>
      </x:c>
      <x:c r="D94" t="str">
        <x:v>Chaves/Fechadura</x:v>
      </x:c>
      <x:c r="E94" t="str">
        <x:v>Baixa</x:v>
      </x:c>
      <x:c r="F94" t="str">
        <x:v>Concluído</x:v>
      </x:c>
      <x:c r="G94" t="n">
        <x:v>24</x:v>
      </x:c>
      <x:c r="H94" s="32" t="n">
        <x:v>700</x:v>
      </x:c>
      <x:c r="I94" t="str">
        <x:v>Proprietário</x:v>
      </x:c>
      <x:c r="J94" t="n">
        <x:v>2</x:v>
      </x:c>
    </x:row>
    <x:row r="95">
      <x:c r="A95" t="str">
        <x:v>CH-00094</x:v>
      </x:c>
      <x:c r="B95" t="str">
        <x:v>IMV-0025</x:v>
      </x:c>
      <x:c r="C95" s="36" t="n">
        <x:v>46064</x:v>
      </x:c>
      <x:c r="D95" t="str">
        <x:v>Chaves/Fechadura</x:v>
      </x:c>
      <x:c r="E95" t="str">
        <x:v>Média</x:v>
      </x:c>
      <x:c r="F95" t="str">
        <x:v>Concluído</x:v>
      </x:c>
      <x:c r="G95" t="n">
        <x:v>7</x:v>
      </x:c>
      <x:c r="H95" s="32" t="n">
        <x:v>3780</x:v>
      </x:c>
      <x:c r="I95" t="str">
        <x:v>Inquilino</x:v>
      </x:c>
      <x:c r="J95" t="n">
        <x:v>1</x:v>
      </x:c>
    </x:row>
    <x:row r="96">
      <x:c r="A96" t="str">
        <x:v>CH-00095</x:v>
      </x:c>
      <x:c r="B96" t="str">
        <x:v>IMV-0025</x:v>
      </x:c>
      <x:c r="C96" s="36" t="n">
        <x:v>45944</x:v>
      </x:c>
      <x:c r="D96" t="str">
        <x:v>Pintura</x:v>
      </x:c>
      <x:c r="E96" t="str">
        <x:v>Crítica</x:v>
      </x:c>
      <x:c r="F96" t="str">
        <x:v>Aguardando proprietário</x:v>
      </x:c>
      <x:c r="G96" t="n">
        <x:v>293</x:v>
      </x:c>
      <x:c r="H96" s="32" t="n">
        <x:v>1390</x:v>
      </x:c>
      <x:c r="I96" t="str">
        <x:v>Inquilino</x:v>
      </x:c>
      <x:c r="J96"/>
    </x:row>
    <x:row r="97">
      <x:c r="A97" t="str">
        <x:v>CH-00096</x:v>
      </x:c>
      <x:c r="B97" t="str">
        <x:v>IMV-0025</x:v>
      </x:c>
      <x:c r="C97" s="36" t="n">
        <x:v>46195</x:v>
      </x:c>
      <x:c r="D97" t="str">
        <x:v>Chaves/Fechadura</x:v>
      </x:c>
      <x:c r="E97" t="str">
        <x:v>Baixa</x:v>
      </x:c>
      <x:c r="F97" t="str">
        <x:v>Concluído</x:v>
      </x:c>
      <x:c r="G97" t="n">
        <x:v>10</x:v>
      </x:c>
      <x:c r="H97" s="32" t="n">
        <x:v>3730</x:v>
      </x:c>
      <x:c r="I97" t="str">
        <x:v>Imobiliária</x:v>
      </x:c>
      <x:c r="J97" t="n">
        <x:v>2</x:v>
      </x:c>
    </x:row>
    <x:row r="98">
      <x:c r="A98" t="str">
        <x:v>CH-00097</x:v>
      </x:c>
      <x:c r="B98" t="str">
        <x:v>IMV-0025</x:v>
      </x:c>
      <x:c r="C98" s="36" t="n">
        <x:v>46099</x:v>
      </x:c>
      <x:c r="D98" t="str">
        <x:v>Pintura</x:v>
      </x:c>
      <x:c r="E98" t="str">
        <x:v>Crítica</x:v>
      </x:c>
      <x:c r="F98" t="str">
        <x:v>Concluído</x:v>
      </x:c>
      <x:c r="G98" t="n">
        <x:v>8</x:v>
      </x:c>
      <x:c r="H98" s="32" t="n">
        <x:v>1520</x:v>
      </x:c>
      <x:c r="I98" t="str">
        <x:v>Imobiliária</x:v>
      </x:c>
      <x:c r="J98" t="n">
        <x:v>2</x:v>
      </x:c>
    </x:row>
    <x:row r="99">
      <x:c r="A99" t="str">
        <x:v>CH-00098</x:v>
      </x:c>
      <x:c r="B99" t="str">
        <x:v>IMV-0025</x:v>
      </x:c>
      <x:c r="C99" s="36" t="n">
        <x:v>45888</x:v>
      </x:c>
      <x:c r="D99" t="str">
        <x:v>Pintura</x:v>
      </x:c>
      <x:c r="E99" t="str">
        <x:v>Baixa</x:v>
      </x:c>
      <x:c r="F99" t="str">
        <x:v>Concluído</x:v>
      </x:c>
      <x:c r="G99" t="n">
        <x:v>23</x:v>
      </x:c>
      <x:c r="H99" s="32" t="n">
        <x:v>860</x:v>
      </x:c>
      <x:c r="I99" t="str">
        <x:v>Imobiliária</x:v>
      </x:c>
      <x:c r="J99" t="n">
        <x:v>1</x:v>
      </x:c>
    </x:row>
    <x:row r="100">
      <x:c r="A100" t="str">
        <x:v>CH-00099</x:v>
      </x:c>
      <x:c r="B100" t="str">
        <x:v>IMV-0026</x:v>
      </x:c>
      <x:c r="C100" s="36" t="n">
        <x:v>45921</x:v>
      </x:c>
      <x:c r="D100" t="str">
        <x:v>Pintura</x:v>
      </x:c>
      <x:c r="E100" t="str">
        <x:v>Baixa</x:v>
      </x:c>
      <x:c r="F100" t="str">
        <x:v>Aguardando proprietário</x:v>
      </x:c>
      <x:c r="G100" t="n">
        <x:v>316</x:v>
      </x:c>
      <x:c r="H100" s="32" t="n">
        <x:v>3070</x:v>
      </x:c>
      <x:c r="I100" t="str">
        <x:v>Inquilino</x:v>
      </x:c>
      <x:c r="J100"/>
    </x:row>
    <x:row r="101">
      <x:c r="A101" t="str">
        <x:v>CH-00100</x:v>
      </x:c>
      <x:c r="B101" t="str">
        <x:v>IMV-0027</x:v>
      </x:c>
      <x:c r="C101" s="36" t="n">
        <x:v>46003</x:v>
      </x:c>
      <x:c r="D101" t="str">
        <x:v>Eletrodoméstico</x:v>
      </x:c>
      <x:c r="E101" t="str">
        <x:v>Crítica</x:v>
      </x:c>
      <x:c r="F101" t="str">
        <x:v>Aguardando prestador</x:v>
      </x:c>
      <x:c r="G101" t="n">
        <x:v>234</x:v>
      </x:c>
      <x:c r="H101" s="32" t="n">
        <x:v>1560</x:v>
      </x:c>
      <x:c r="I101" t="str">
        <x:v>Proprietário</x:v>
      </x:c>
      <x:c r="J101"/>
    </x:row>
    <x:row r="102">
      <x:c r="A102" t="str">
        <x:v>CH-00101</x:v>
      </x:c>
      <x:c r="B102" t="str">
        <x:v>IMV-0027</x:v>
      </x:c>
      <x:c r="C102" s="36" t="n">
        <x:v>46160</x:v>
      </x:c>
      <x:c r="D102" t="str">
        <x:v>Hidráulica</x:v>
      </x:c>
      <x:c r="E102" t="str">
        <x:v>Baixa</x:v>
      </x:c>
      <x:c r="F102" t="str">
        <x:v>Concluído</x:v>
      </x:c>
      <x:c r="G102" t="n">
        <x:v>21</x:v>
      </x:c>
      <x:c r="H102" s="32" t="n">
        <x:v>1180</x:v>
      </x:c>
      <x:c r="I102" t="str">
        <x:v>Imobiliária</x:v>
      </x:c>
      <x:c r="J102" t="n">
        <x:v>4</x:v>
      </x:c>
    </x:row>
    <x:row r="103">
      <x:c r="A103" t="str">
        <x:v>CH-00102</x:v>
      </x:c>
      <x:c r="B103" t="str">
        <x:v>IMV-0027</x:v>
      </x:c>
      <x:c r="C103" s="36" t="n">
        <x:v>45931</x:v>
      </x:c>
      <x:c r="D103" t="str">
        <x:v>Estrutural</x:v>
      </x:c>
      <x:c r="E103" t="str">
        <x:v>Alta</x:v>
      </x:c>
      <x:c r="F103" t="str">
        <x:v>Aguardando proprietário</x:v>
      </x:c>
      <x:c r="G103" t="n">
        <x:v>306</x:v>
      </x:c>
      <x:c r="H103" s="32" t="n">
        <x:v>2950</x:v>
      </x:c>
      <x:c r="I103" t="str">
        <x:v>Imobiliária</x:v>
      </x:c>
      <x:c r="J103"/>
    </x:row>
    <x:row r="104">
      <x:c r="A104" t="str">
        <x:v>CH-00103</x:v>
      </x:c>
      <x:c r="B104" t="str">
        <x:v>IMV-0027</x:v>
      </x:c>
      <x:c r="C104" s="36" t="n">
        <x:v>45983</x:v>
      </x:c>
      <x:c r="D104" t="str">
        <x:v>Eletrodoméstico</x:v>
      </x:c>
      <x:c r="E104" t="str">
        <x:v>Média</x:v>
      </x:c>
      <x:c r="F104" t="str">
        <x:v>Concluído</x:v>
      </x:c>
      <x:c r="G104" t="n">
        <x:v>12</x:v>
      </x:c>
      <x:c r="H104" s="32" t="n">
        <x:v>1280</x:v>
      </x:c>
      <x:c r="I104" t="str">
        <x:v>Inquilino</x:v>
      </x:c>
      <x:c r="J104" t="n">
        <x:v>3</x:v>
      </x:c>
    </x:row>
    <x:row r="105">
      <x:c r="A105" t="str">
        <x:v>CH-00104</x:v>
      </x:c>
      <x:c r="B105" t="str">
        <x:v>IMV-0027</x:v>
      </x:c>
      <x:c r="C105" s="36" t="n">
        <x:v>45895</x:v>
      </x:c>
      <x:c r="D105" t="str">
        <x:v>Pintura</x:v>
      </x:c>
      <x:c r="E105" t="str">
        <x:v>Baixa</x:v>
      </x:c>
      <x:c r="F105" t="str">
        <x:v>Concluído</x:v>
      </x:c>
      <x:c r="G105" t="n">
        <x:v>18</x:v>
      </x:c>
      <x:c r="H105" s="32" t="n">
        <x:v>3060</x:v>
      </x:c>
      <x:c r="I105" t="str">
        <x:v>Inquilino</x:v>
      </x:c>
      <x:c r="J105" t="n">
        <x:v>4</x:v>
      </x:c>
    </x:row>
    <x:row r="106">
      <x:c r="A106" t="str">
        <x:v>CH-00105</x:v>
      </x:c>
      <x:c r="B106" t="str">
        <x:v>IMV-0027</x:v>
      </x:c>
      <x:c r="C106" s="36" t="n">
        <x:v>45955</x:v>
      </x:c>
      <x:c r="D106" t="str">
        <x:v>Hidráulica</x:v>
      </x:c>
      <x:c r="E106" t="str">
        <x:v>Baixa</x:v>
      </x:c>
      <x:c r="F106" t="str">
        <x:v>Concluído</x:v>
      </x:c>
      <x:c r="G106" t="n">
        <x:v>12</x:v>
      </x:c>
      <x:c r="H106" s="32" t="n">
        <x:v>260</x:v>
      </x:c>
      <x:c r="I106" t="str">
        <x:v>Proprietário</x:v>
      </x:c>
      <x:c r="J106" t="n">
        <x:v>5</x:v>
      </x:c>
    </x:row>
    <x:row r="107">
      <x:c r="A107" t="str">
        <x:v>CH-00106</x:v>
      </x:c>
      <x:c r="B107" t="str">
        <x:v>IMV-0027</x:v>
      </x:c>
      <x:c r="C107" s="36" t="n">
        <x:v>46019</x:v>
      </x:c>
      <x:c r="D107" t="str">
        <x:v>Pintura</x:v>
      </x:c>
      <x:c r="E107" t="str">
        <x:v>Média</x:v>
      </x:c>
      <x:c r="F107" t="str">
        <x:v>Concluído</x:v>
      </x:c>
      <x:c r="G107" t="n">
        <x:v>23</x:v>
      </x:c>
      <x:c r="H107" s="32" t="n">
        <x:v>3220</x:v>
      </x:c>
      <x:c r="I107" t="str">
        <x:v>Inquilino</x:v>
      </x:c>
      <x:c r="J107" t="n">
        <x:v>1</x:v>
      </x:c>
    </x:row>
    <x:row r="108">
      <x:c r="A108" t="str">
        <x:v>CH-00107</x:v>
      </x:c>
      <x:c r="B108" t="str">
        <x:v>IMV-0028</x:v>
      </x:c>
      <x:c r="C108" s="36" t="n">
        <x:v>46116</x:v>
      </x:c>
      <x:c r="D108" t="str">
        <x:v>Chaves/Fechadura</x:v>
      </x:c>
      <x:c r="E108" t="str">
        <x:v>Crítica</x:v>
      </x:c>
      <x:c r="F108" t="str">
        <x:v>Aguardando proprietário</x:v>
      </x:c>
      <x:c r="G108" t="n">
        <x:v>121</x:v>
      </x:c>
      <x:c r="H108" s="32" t="n">
        <x:v>3470</x:v>
      </x:c>
      <x:c r="I108" t="str">
        <x:v>Inquilino</x:v>
      </x:c>
      <x:c r="J108"/>
    </x:row>
    <x:row r="109">
      <x:c r="A109" t="str">
        <x:v>CH-00108</x:v>
      </x:c>
      <x:c r="B109" t="str">
        <x:v>IMV-0028</x:v>
      </x:c>
      <x:c r="C109" s="36" t="n">
        <x:v>46139</x:v>
      </x:c>
      <x:c r="D109" t="str">
        <x:v>Chaves/Fechadura</x:v>
      </x:c>
      <x:c r="E109" t="str">
        <x:v>Média</x:v>
      </x:c>
      <x:c r="F109" t="str">
        <x:v>Concluído</x:v>
      </x:c>
      <x:c r="G109" t="n">
        <x:v>15</x:v>
      </x:c>
      <x:c r="H109" s="32" t="n">
        <x:v>1560</x:v>
      </x:c>
      <x:c r="I109" t="str">
        <x:v>Imobiliária</x:v>
      </x:c>
      <x:c r="J109" t="n">
        <x:v>4</x:v>
      </x:c>
    </x:row>
    <x:row r="110">
      <x:c r="A110" t="str">
        <x:v>CH-00109</x:v>
      </x:c>
      <x:c r="B110" t="str">
        <x:v>IMV-0028</x:v>
      </x:c>
      <x:c r="C110" s="36" t="n">
        <x:v>46147</x:v>
      </x:c>
      <x:c r="D110" t="str">
        <x:v>Elétrica</x:v>
      </x:c>
      <x:c r="E110" t="str">
        <x:v>Média</x:v>
      </x:c>
      <x:c r="F110" t="str">
        <x:v>Concluído</x:v>
      </x:c>
      <x:c r="G110" t="n">
        <x:v>4</x:v>
      </x:c>
      <x:c r="H110" s="32" t="n">
        <x:v>3260</x:v>
      </x:c>
      <x:c r="I110" t="str">
        <x:v>Inquilino</x:v>
      </x:c>
      <x:c r="J110" t="n">
        <x:v>2</x:v>
      </x:c>
    </x:row>
    <x:row r="111">
      <x:c r="A111" t="str">
        <x:v>CH-00110</x:v>
      </x:c>
      <x:c r="B111" t="str">
        <x:v>IMV-0029</x:v>
      </x:c>
      <x:c r="C111" s="36" t="n">
        <x:v>46221</x:v>
      </x:c>
      <x:c r="D111" t="str">
        <x:v>Estrutural</x:v>
      </x:c>
      <x:c r="E111" t="str">
        <x:v>Crítica</x:v>
      </x:c>
      <x:c r="F111" t="str">
        <x:v>Concluído</x:v>
      </x:c>
      <x:c r="G111" t="n">
        <x:v>20</x:v>
      </x:c>
      <x:c r="H111" s="32" t="n">
        <x:v>3810</x:v>
      </x:c>
      <x:c r="I111" t="str">
        <x:v>Imobiliária</x:v>
      </x:c>
      <x:c r="J111" t="n">
        <x:v>5</x:v>
      </x:c>
    </x:row>
    <x:row r="112">
      <x:c r="A112" t="str">
        <x:v>CH-00111</x:v>
      </x:c>
      <x:c r="B112" t="str">
        <x:v>IMV-0029</x:v>
      </x:c>
      <x:c r="C112" s="36" t="n">
        <x:v>46017</x:v>
      </x:c>
      <x:c r="D112" t="str">
        <x:v>Estrutural</x:v>
      </x:c>
      <x:c r="E112" t="str">
        <x:v>Média</x:v>
      </x:c>
      <x:c r="F112" t="str">
        <x:v>Concluído</x:v>
      </x:c>
      <x:c r="G112" t="n">
        <x:v>1</x:v>
      </x:c>
      <x:c r="H112" s="32" t="n">
        <x:v>1170</x:v>
      </x:c>
      <x:c r="I112" t="str">
        <x:v>Imobiliária</x:v>
      </x:c>
      <x:c r="J112" t="n">
        <x:v>2</x:v>
      </x:c>
    </x:row>
    <x:row r="113">
      <x:c r="A113" t="str">
        <x:v>CH-00112</x:v>
      </x:c>
      <x:c r="B113" t="str">
        <x:v>IMV-0029</x:v>
      </x:c>
      <x:c r="C113" s="36" t="n">
        <x:v>46165</x:v>
      </x:c>
      <x:c r="D113" t="str">
        <x:v>Chaves/Fechadura</x:v>
      </x:c>
      <x:c r="E113" t="str">
        <x:v>Média</x:v>
      </x:c>
      <x:c r="F113" t="str">
        <x:v>Concluído</x:v>
      </x:c>
      <x:c r="G113" t="n">
        <x:v>9</x:v>
      </x:c>
      <x:c r="H113" s="32" t="n">
        <x:v>1960</x:v>
      </x:c>
      <x:c r="I113" t="str">
        <x:v>Inquilino</x:v>
      </x:c>
      <x:c r="J113" t="n">
        <x:v>2</x:v>
      </x:c>
    </x:row>
    <x:row r="114">
      <x:c r="A114" t="str">
        <x:v>CH-00113</x:v>
      </x:c>
      <x:c r="B114" t="str">
        <x:v>IMV-0029</x:v>
      </x:c>
      <x:c r="C114" s="36" t="n">
        <x:v>46163</x:v>
      </x:c>
      <x:c r="D114" t="str">
        <x:v>Eletrodoméstico</x:v>
      </x:c>
      <x:c r="E114" t="str">
        <x:v>Baixa</x:v>
      </x:c>
      <x:c r="F114" t="str">
        <x:v>Concluído</x:v>
      </x:c>
      <x:c r="G114" t="n">
        <x:v>1</x:v>
      </x:c>
      <x:c r="H114" s="32" t="n">
        <x:v>260</x:v>
      </x:c>
      <x:c r="I114" t="str">
        <x:v>Imobiliária</x:v>
      </x:c>
      <x:c r="J114" t="n">
        <x:v>1</x:v>
      </x:c>
    </x:row>
    <x:row r="115">
      <x:c r="A115" t="str">
        <x:v>CH-00114</x:v>
      </x:c>
      <x:c r="B115" t="str">
        <x:v>IMV-0031</x:v>
      </x:c>
      <x:c r="C115" s="36" t="n">
        <x:v>46045</x:v>
      </x:c>
      <x:c r="D115" t="str">
        <x:v>Elétrica</x:v>
      </x:c>
      <x:c r="E115" t="str">
        <x:v>Baixa</x:v>
      </x:c>
      <x:c r="F115" t="str">
        <x:v>Concluído</x:v>
      </x:c>
      <x:c r="G115" t="n">
        <x:v>9</x:v>
      </x:c>
      <x:c r="H115" s="32" t="n">
        <x:v>2490</x:v>
      </x:c>
      <x:c r="I115" t="str">
        <x:v>Inquilino</x:v>
      </x:c>
      <x:c r="J115" t="n">
        <x:v>2</x:v>
      </x:c>
    </x:row>
    <x:row r="116">
      <x:c r="A116" t="str">
        <x:v>CH-00115</x:v>
      </x:c>
      <x:c r="B116" t="str">
        <x:v>IMV-0031</x:v>
      </x:c>
      <x:c r="C116" s="36" t="n">
        <x:v>46213</x:v>
      </x:c>
      <x:c r="D116" t="str">
        <x:v>Hidráulica</x:v>
      </x:c>
      <x:c r="E116" t="str">
        <x:v>Alta</x:v>
      </x:c>
      <x:c r="F116" t="str">
        <x:v>Concluído</x:v>
      </x:c>
      <x:c r="G116" t="n">
        <x:v>17</x:v>
      </x:c>
      <x:c r="H116" s="32" t="n">
        <x:v>3800</x:v>
      </x:c>
      <x:c r="I116" t="str">
        <x:v>Proprietário</x:v>
      </x:c>
      <x:c r="J116" t="n">
        <x:v>4</x:v>
      </x:c>
    </x:row>
    <x:row r="117">
      <x:c r="A117" t="str">
        <x:v>CH-00116</x:v>
      </x:c>
      <x:c r="B117" t="str">
        <x:v>IMV-0031</x:v>
      </x:c>
      <x:c r="C117" s="36" t="n">
        <x:v>45901</x:v>
      </x:c>
      <x:c r="D117" t="str">
        <x:v>Chaves/Fechadura</x:v>
      </x:c>
      <x:c r="E117" t="str">
        <x:v>Baixa</x:v>
      </x:c>
      <x:c r="F117" t="str">
        <x:v>Concluído</x:v>
      </x:c>
      <x:c r="G117" t="n">
        <x:v>23</x:v>
      </x:c>
      <x:c r="H117" s="32" t="n">
        <x:v>4220</x:v>
      </x:c>
      <x:c r="I117" t="str">
        <x:v>Inquilino</x:v>
      </x:c>
      <x:c r="J117" t="n">
        <x:v>5</x:v>
      </x:c>
    </x:row>
    <x:row r="118">
      <x:c r="A118" t="str">
        <x:v>CH-00117</x:v>
      </x:c>
      <x:c r="B118" t="str">
        <x:v>IMV-0031</x:v>
      </x:c>
      <x:c r="C118" s="36" t="n">
        <x:v>46166</x:v>
      </x:c>
      <x:c r="D118" t="str">
        <x:v>Hidráulica</x:v>
      </x:c>
      <x:c r="E118" t="str">
        <x:v>Alta</x:v>
      </x:c>
      <x:c r="F118" t="str">
        <x:v>Em andamento</x:v>
      </x:c>
      <x:c r="G118" t="n">
        <x:v>71</x:v>
      </x:c>
      <x:c r="H118" s="32" t="n">
        <x:v>130</x:v>
      </x:c>
      <x:c r="I118" t="str">
        <x:v>Imobiliária</x:v>
      </x:c>
      <x:c r="J118"/>
    </x:row>
    <x:row r="119">
      <x:c r="A119" t="str">
        <x:v>CH-00118</x:v>
      </x:c>
      <x:c r="B119" t="str">
        <x:v>IMV-0031</x:v>
      </x:c>
      <x:c r="C119" s="36" t="n">
        <x:v>46064</x:v>
      </x:c>
      <x:c r="D119" t="str">
        <x:v>Estrutural</x:v>
      </x:c>
      <x:c r="E119" t="str">
        <x:v>Crítica</x:v>
      </x:c>
      <x:c r="F119" t="str">
        <x:v>Concluído</x:v>
      </x:c>
      <x:c r="G119" t="n">
        <x:v>25</x:v>
      </x:c>
      <x:c r="H119" s="32" t="n">
        <x:v>2040</x:v>
      </x:c>
      <x:c r="I119" t="str">
        <x:v>Proprietário</x:v>
      </x:c>
      <x:c r="J119" t="n">
        <x:v>4</x:v>
      </x:c>
    </x:row>
    <x:row r="120">
      <x:c r="A120" t="str">
        <x:v>CH-00119</x:v>
      </x:c>
      <x:c r="B120" t="str">
        <x:v>IMV-0031</x:v>
      </x:c>
      <x:c r="C120" s="36" t="n">
        <x:v>46179</x:v>
      </x:c>
      <x:c r="D120" t="str">
        <x:v>Chaves/Fechadura</x:v>
      </x:c>
      <x:c r="E120" t="str">
        <x:v>Crítica</x:v>
      </x:c>
      <x:c r="F120" t="str">
        <x:v>Aguardando proprietário</x:v>
      </x:c>
      <x:c r="G120" t="n">
        <x:v>58</x:v>
      </x:c>
      <x:c r="H120" s="32" t="n">
        <x:v>2330</x:v>
      </x:c>
      <x:c r="I120" t="str">
        <x:v>Imobiliária</x:v>
      </x:c>
      <x:c r="J120"/>
    </x:row>
    <x:row r="121">
      <x:c r="A121" t="str">
        <x:v>CH-00120</x:v>
      </x:c>
      <x:c r="B121" t="str">
        <x:v>IMV-0032</x:v>
      </x:c>
      <x:c r="C121" s="36" t="n">
        <x:v>45894</x:v>
      </x:c>
      <x:c r="D121" t="str">
        <x:v>Eletrodoméstico</x:v>
      </x:c>
      <x:c r="E121" t="str">
        <x:v>Alta</x:v>
      </x:c>
      <x:c r="F121" t="str">
        <x:v>Concluído</x:v>
      </x:c>
      <x:c r="G121" t="n">
        <x:v>4</x:v>
      </x:c>
      <x:c r="H121" s="32" t="n">
        <x:v>3490</x:v>
      </x:c>
      <x:c r="I121" t="str">
        <x:v>Imobiliária</x:v>
      </x:c>
      <x:c r="J121" t="n">
        <x:v>2</x:v>
      </x:c>
    </x:row>
    <x:row r="122">
      <x:c r="A122" t="str">
        <x:v>CH-00121</x:v>
      </x:c>
      <x:c r="B122" t="str">
        <x:v>IMV-0033</x:v>
      </x:c>
      <x:c r="C122" s="36" t="n">
        <x:v>45890</x:v>
      </x:c>
      <x:c r="D122" t="str">
        <x:v>Pintura</x:v>
      </x:c>
      <x:c r="E122" t="str">
        <x:v>Baixa</x:v>
      </x:c>
      <x:c r="F122" t="str">
        <x:v>Em andamento</x:v>
      </x:c>
      <x:c r="G122" t="n">
        <x:v>347</x:v>
      </x:c>
      <x:c r="H122" s="32" t="n">
        <x:v>1730</x:v>
      </x:c>
      <x:c r="I122" t="str">
        <x:v>Proprietário</x:v>
      </x:c>
      <x:c r="J122"/>
    </x:row>
    <x:row r="123">
      <x:c r="A123" t="str">
        <x:v>CH-00122</x:v>
      </x:c>
      <x:c r="B123" t="str">
        <x:v>IMV-0034</x:v>
      </x:c>
      <x:c r="C123" s="36" t="n">
        <x:v>46227</x:v>
      </x:c>
      <x:c r="D123" t="str">
        <x:v>Elétrica</x:v>
      </x:c>
      <x:c r="E123" t="str">
        <x:v>Crítica</x:v>
      </x:c>
      <x:c r="F123" t="str">
        <x:v>Concluído</x:v>
      </x:c>
      <x:c r="G123" t="n">
        <x:v>24</x:v>
      </x:c>
      <x:c r="H123" s="32" t="n">
        <x:v>640</x:v>
      </x:c>
      <x:c r="I123" t="str">
        <x:v>Imobiliária</x:v>
      </x:c>
      <x:c r="J123" t="n">
        <x:v>5</x:v>
      </x:c>
    </x:row>
    <x:row r="124">
      <x:c r="A124" t="str">
        <x:v>CH-00123</x:v>
      </x:c>
      <x:c r="B124" t="str">
        <x:v>IMV-0034</x:v>
      </x:c>
      <x:c r="C124" s="36" t="n">
        <x:v>45938</x:v>
      </x:c>
      <x:c r="D124" t="str">
        <x:v>Estrutural</x:v>
      </x:c>
      <x:c r="E124" t="str">
        <x:v>Média</x:v>
      </x:c>
      <x:c r="F124" t="str">
        <x:v>Concluído</x:v>
      </x:c>
      <x:c r="G124" t="n">
        <x:v>13</x:v>
      </x:c>
      <x:c r="H124" s="32" t="n">
        <x:v>4280</x:v>
      </x:c>
      <x:c r="I124" t="str">
        <x:v>Inquilino</x:v>
      </x:c>
      <x:c r="J124" t="n">
        <x:v>3</x:v>
      </x:c>
    </x:row>
    <x:row r="125">
      <x:c r="A125" t="str">
        <x:v>CH-00124</x:v>
      </x:c>
      <x:c r="B125" t="str">
        <x:v>IMV-0034</x:v>
      </x:c>
      <x:c r="C125" s="36" t="n">
        <x:v>46087</x:v>
      </x:c>
      <x:c r="D125" t="str">
        <x:v>Hidráulica</x:v>
      </x:c>
      <x:c r="E125" t="str">
        <x:v>Baixa</x:v>
      </x:c>
      <x:c r="F125" t="str">
        <x:v>Concluído</x:v>
      </x:c>
      <x:c r="G125" t="n">
        <x:v>18</x:v>
      </x:c>
      <x:c r="H125" s="32" t="n">
        <x:v>2970</x:v>
      </x:c>
      <x:c r="I125" t="str">
        <x:v>Imobiliária</x:v>
      </x:c>
      <x:c r="J125" t="n">
        <x:v>2</x:v>
      </x:c>
    </x:row>
    <x:row r="126">
      <x:c r="A126" t="str">
        <x:v>CH-00125</x:v>
      </x:c>
      <x:c r="B126" t="str">
        <x:v>IMV-0035</x:v>
      </x:c>
      <x:c r="C126" s="36" t="n">
        <x:v>46000</x:v>
      </x:c>
      <x:c r="D126" t="str">
        <x:v>Pintura</x:v>
      </x:c>
      <x:c r="E126" t="str">
        <x:v>Crítica</x:v>
      </x:c>
      <x:c r="F126" t="str">
        <x:v>Concluído</x:v>
      </x:c>
      <x:c r="G126" t="n">
        <x:v>9</x:v>
      </x:c>
      <x:c r="H126" s="32" t="n">
        <x:v>1410</x:v>
      </x:c>
      <x:c r="I126" t="str">
        <x:v>Proprietário</x:v>
      </x:c>
      <x:c r="J126" t="n">
        <x:v>5</x:v>
      </x:c>
    </x:row>
    <x:row r="127">
      <x:c r="A127" t="str">
        <x:v>CH-00126</x:v>
      </x:c>
      <x:c r="B127" t="str">
        <x:v>IMV-0035</x:v>
      </x:c>
      <x:c r="C127" s="36" t="n">
        <x:v>46214</x:v>
      </x:c>
      <x:c r="D127" t="str">
        <x:v>Chaves/Fechadura</x:v>
      </x:c>
      <x:c r="E127" t="str">
        <x:v>Média</x:v>
      </x:c>
      <x:c r="F127" t="str">
        <x:v>Concluído</x:v>
      </x:c>
      <x:c r="G127" t="n">
        <x:v>1</x:v>
      </x:c>
      <x:c r="H127" s="32" t="n">
        <x:v>530</x:v>
      </x:c>
      <x:c r="I127" t="str">
        <x:v>Imobiliária</x:v>
      </x:c>
      <x:c r="J127" t="n">
        <x:v>5</x:v>
      </x:c>
    </x:row>
    <x:row r="128">
      <x:c r="A128" t="str">
        <x:v>CH-00127</x:v>
      </x:c>
      <x:c r="B128" t="str">
        <x:v>IMV-0035</x:v>
      </x:c>
      <x:c r="C128" s="36" t="n">
        <x:v>45934</x:v>
      </x:c>
      <x:c r="D128" t="str">
        <x:v>Pintura</x:v>
      </x:c>
      <x:c r="E128" t="str">
        <x:v>Baixa</x:v>
      </x:c>
      <x:c r="F128" t="str">
        <x:v>Concluído</x:v>
      </x:c>
      <x:c r="G128" t="n">
        <x:v>24</x:v>
      </x:c>
      <x:c r="H128" s="32" t="n">
        <x:v>2680</x:v>
      </x:c>
      <x:c r="I128" t="str">
        <x:v>Imobiliária</x:v>
      </x:c>
      <x:c r="J128" t="n">
        <x:v>2</x:v>
      </x:c>
    </x:row>
    <x:row r="129">
      <x:c r="A129" t="str">
        <x:v>CH-00128</x:v>
      </x:c>
      <x:c r="B129" t="str">
        <x:v>IMV-0035</x:v>
      </x:c>
      <x:c r="C129" s="36" t="n">
        <x:v>46164</x:v>
      </x:c>
      <x:c r="D129" t="str">
        <x:v>Chaves/Fechadura</x:v>
      </x:c>
      <x:c r="E129" t="str">
        <x:v>Alta</x:v>
      </x:c>
      <x:c r="F129" t="str">
        <x:v>Concluído</x:v>
      </x:c>
      <x:c r="G129" t="n">
        <x:v>15</x:v>
      </x:c>
      <x:c r="H129" s="32" t="n">
        <x:v>3310</x:v>
      </x:c>
      <x:c r="I129" t="str">
        <x:v>Inquilino</x:v>
      </x:c>
      <x:c r="J129" t="n">
        <x:v>2</x:v>
      </x:c>
    </x:row>
    <x:row r="130">
      <x:c r="A130" t="str">
        <x:v>CH-00129</x:v>
      </x:c>
      <x:c r="B130" t="str">
        <x:v>IMV-0035</x:v>
      </x:c>
      <x:c r="C130" s="36" t="n">
        <x:v>46094</x:v>
      </x:c>
      <x:c r="D130" t="str">
        <x:v>Chaves/Fechadura</x:v>
      </x:c>
      <x:c r="E130" t="str">
        <x:v>Baixa</x:v>
      </x:c>
      <x:c r="F130" t="str">
        <x:v>Concluído</x:v>
      </x:c>
      <x:c r="G130" t="n">
        <x:v>8</x:v>
      </x:c>
      <x:c r="H130" s="32" t="n">
        <x:v>1690</x:v>
      </x:c>
      <x:c r="I130" t="str">
        <x:v>Inquilino</x:v>
      </x:c>
      <x:c r="J130" t="n">
        <x:v>5</x:v>
      </x:c>
    </x:row>
    <x:row r="131">
      <x:c r="A131" t="str">
        <x:v>CH-00130</x:v>
      </x:c>
      <x:c r="B131" t="str">
        <x:v>IMV-0035</x:v>
      </x:c>
      <x:c r="C131" s="36" t="n">
        <x:v>46222</x:v>
      </x:c>
      <x:c r="D131" t="str">
        <x:v>Eletrodoméstico</x:v>
      </x:c>
      <x:c r="E131" t="str">
        <x:v>Alta</x:v>
      </x:c>
      <x:c r="F131" t="str">
        <x:v>Concluído</x:v>
      </x:c>
      <x:c r="G131" t="n">
        <x:v>3</x:v>
      </x:c>
      <x:c r="H131" s="32" t="n">
        <x:v>1150</x:v>
      </x:c>
      <x:c r="I131" t="str">
        <x:v>Inquilino</x:v>
      </x:c>
      <x:c r="J131" t="n">
        <x:v>2</x:v>
      </x:c>
    </x:row>
    <x:row r="132">
      <x:c r="A132" t="str">
        <x:v>CH-00131</x:v>
      </x:c>
      <x:c r="B132" t="str">
        <x:v>IMV-0035</x:v>
      </x:c>
      <x:c r="C132" s="36" t="n">
        <x:v>46064</x:v>
      </x:c>
      <x:c r="D132" t="str">
        <x:v>Estrutural</x:v>
      </x:c>
      <x:c r="E132" t="str">
        <x:v>Crítica</x:v>
      </x:c>
      <x:c r="F132" t="str">
        <x:v>Concluído</x:v>
      </x:c>
      <x:c r="G132" t="n">
        <x:v>24</x:v>
      </x:c>
      <x:c r="H132" s="32" t="n">
        <x:v>2680</x:v>
      </x:c>
      <x:c r="I132" t="str">
        <x:v>Imobiliária</x:v>
      </x:c>
      <x:c r="J132" t="n">
        <x:v>1</x:v>
      </x:c>
    </x:row>
    <x:row r="133">
      <x:c r="A133" t="str">
        <x:v>CH-00132</x:v>
      </x:c>
      <x:c r="B133" t="str">
        <x:v>IMV-0036</x:v>
      </x:c>
      <x:c r="C133" s="36" t="n">
        <x:v>45960</x:v>
      </x:c>
      <x:c r="D133" t="str">
        <x:v>Estrutural</x:v>
      </x:c>
      <x:c r="E133" t="str">
        <x:v>Crítica</x:v>
      </x:c>
      <x:c r="F133" t="str">
        <x:v>Concluído</x:v>
      </x:c>
      <x:c r="G133" t="n">
        <x:v>17</x:v>
      </x:c>
      <x:c r="H133" s="32" t="n">
        <x:v>1040</x:v>
      </x:c>
      <x:c r="I133" t="str">
        <x:v>Imobiliária</x:v>
      </x:c>
      <x:c r="J133" t="n">
        <x:v>1</x:v>
      </x:c>
    </x:row>
    <x:row r="134">
      <x:c r="A134" t="str">
        <x:v>CH-00133</x:v>
      </x:c>
      <x:c r="B134" t="str">
        <x:v>IMV-0036</x:v>
      </x:c>
      <x:c r="C134" s="36" t="n">
        <x:v>46040</x:v>
      </x:c>
      <x:c r="D134" t="str">
        <x:v>Estrutural</x:v>
      </x:c>
      <x:c r="E134" t="str">
        <x:v>Média</x:v>
      </x:c>
      <x:c r="F134" t="str">
        <x:v>Concluído</x:v>
      </x:c>
      <x:c r="G134" t="n">
        <x:v>6</x:v>
      </x:c>
      <x:c r="H134" s="32" t="n">
        <x:v>1190</x:v>
      </x:c>
      <x:c r="I134" t="str">
        <x:v>Imobiliária</x:v>
      </x:c>
      <x:c r="J134" t="n">
        <x:v>1</x:v>
      </x:c>
    </x:row>
    <x:row r="135">
      <x:c r="A135" t="str">
        <x:v>CH-00134</x:v>
      </x:c>
      <x:c r="B135" t="str">
        <x:v>IMV-0036</x:v>
      </x:c>
      <x:c r="C135" s="36" t="n">
        <x:v>46075</x:v>
      </x:c>
      <x:c r="D135" t="str">
        <x:v>Estrutural</x:v>
      </x:c>
      <x:c r="E135" t="str">
        <x:v>Baixa</x:v>
      </x:c>
      <x:c r="F135" t="str">
        <x:v>Concluído</x:v>
      </x:c>
      <x:c r="G135" t="n">
        <x:v>25</x:v>
      </x:c>
      <x:c r="H135" s="32" t="n">
        <x:v>450</x:v>
      </x:c>
      <x:c r="I135" t="str">
        <x:v>Proprietário</x:v>
      </x:c>
      <x:c r="J135" t="n">
        <x:v>2</x:v>
      </x:c>
    </x:row>
    <x:row r="136">
      <x:c r="A136" t="str">
        <x:v>CH-00135</x:v>
      </x:c>
      <x:c r="B136" t="str">
        <x:v>IMV-0036</x:v>
      </x:c>
      <x:c r="C136" s="36" t="n">
        <x:v>46145</x:v>
      </x:c>
      <x:c r="D136" t="str">
        <x:v>Estrutural</x:v>
      </x:c>
      <x:c r="E136" t="str">
        <x:v>Alta</x:v>
      </x:c>
      <x:c r="F136" t="str">
        <x:v>Aguardando prestador</x:v>
      </x:c>
      <x:c r="G136" t="n">
        <x:v>92</x:v>
      </x:c>
      <x:c r="H136" s="32" t="n">
        <x:v>710</x:v>
      </x:c>
      <x:c r="I136" t="str">
        <x:v>Imobiliária</x:v>
      </x:c>
      <x:c r="J136"/>
    </x:row>
    <x:row r="137">
      <x:c r="A137" t="str">
        <x:v>CH-00136</x:v>
      </x:c>
      <x:c r="B137" t="str">
        <x:v>IMV-0037</x:v>
      </x:c>
      <x:c r="C137" s="36" t="n">
        <x:v>45889</x:v>
      </x:c>
      <x:c r="D137" t="str">
        <x:v>Estrutural</x:v>
      </x:c>
      <x:c r="E137" t="str">
        <x:v>Baixa</x:v>
      </x:c>
      <x:c r="F137" t="str">
        <x:v>Concluído</x:v>
      </x:c>
      <x:c r="G137" t="n">
        <x:v>19</x:v>
      </x:c>
      <x:c r="H137" s="32" t="n">
        <x:v>1040</x:v>
      </x:c>
      <x:c r="I137" t="str">
        <x:v>Proprietário</x:v>
      </x:c>
      <x:c r="J137" t="n">
        <x:v>2</x:v>
      </x:c>
    </x:row>
    <x:row r="138">
      <x:c r="A138" t="str">
        <x:v>CH-00137</x:v>
      </x:c>
      <x:c r="B138" t="str">
        <x:v>IMV-0037</x:v>
      </x:c>
      <x:c r="C138" s="36" t="n">
        <x:v>45923</x:v>
      </x:c>
      <x:c r="D138" t="str">
        <x:v>Estrutural</x:v>
      </x:c>
      <x:c r="E138" t="str">
        <x:v>Baixa</x:v>
      </x:c>
      <x:c r="F138" t="str">
        <x:v>Concluído</x:v>
      </x:c>
      <x:c r="G138" t="n">
        <x:v>8</x:v>
      </x:c>
      <x:c r="H138" s="32" t="n">
        <x:v>1160</x:v>
      </x:c>
      <x:c r="I138" t="str">
        <x:v>Inquilino</x:v>
      </x:c>
      <x:c r="J138" t="n">
        <x:v>5</x:v>
      </x:c>
    </x:row>
    <x:row r="139">
      <x:c r="A139" t="str">
        <x:v>CH-00138</x:v>
      </x:c>
      <x:c r="B139" t="str">
        <x:v>IMV-0038</x:v>
      </x:c>
      <x:c r="C139" s="36" t="n">
        <x:v>46155</x:v>
      </x:c>
      <x:c r="D139" t="str">
        <x:v>Chaves/Fechadura</x:v>
      </x:c>
      <x:c r="E139" t="str">
        <x:v>Alta</x:v>
      </x:c>
      <x:c r="F139" t="str">
        <x:v>Concluído</x:v>
      </x:c>
      <x:c r="G139" t="n">
        <x:v>3</x:v>
      </x:c>
      <x:c r="H139" s="32" t="n">
        <x:v>1930</x:v>
      </x:c>
      <x:c r="I139" t="str">
        <x:v>Imobiliária</x:v>
      </x:c>
      <x:c r="J139" t="n">
        <x:v>4</x:v>
      </x:c>
    </x:row>
    <x:row r="140">
      <x:c r="A140" t="str">
        <x:v>CH-00139</x:v>
      </x:c>
      <x:c r="B140" t="str">
        <x:v>IMV-0038</x:v>
      </x:c>
      <x:c r="C140" s="36" t="n">
        <x:v>45967</x:v>
      </x:c>
      <x:c r="D140" t="str">
        <x:v>Hidráulica</x:v>
      </x:c>
      <x:c r="E140" t="str">
        <x:v>Alta</x:v>
      </x:c>
      <x:c r="F140" t="str">
        <x:v>Concluído</x:v>
      </x:c>
      <x:c r="G140" t="n">
        <x:v>19</x:v>
      </x:c>
      <x:c r="H140" s="32" t="n">
        <x:v>3200</x:v>
      </x:c>
      <x:c r="I140" t="str">
        <x:v>Proprietário</x:v>
      </x:c>
      <x:c r="J140" t="n">
        <x:v>2</x:v>
      </x:c>
    </x:row>
    <x:row r="141">
      <x:c r="A141" t="str">
        <x:v>CH-00140</x:v>
      </x:c>
      <x:c r="B141" t="str">
        <x:v>IMV-0038</x:v>
      </x:c>
      <x:c r="C141" s="36" t="n">
        <x:v>46057</x:v>
      </x:c>
      <x:c r="D141" t="str">
        <x:v>Pintura</x:v>
      </x:c>
      <x:c r="E141" t="str">
        <x:v>Crítica</x:v>
      </x:c>
      <x:c r="F141" t="str">
        <x:v>Concluído</x:v>
      </x:c>
      <x:c r="G141" t="n">
        <x:v>23</x:v>
      </x:c>
      <x:c r="H141" s="32" t="n">
        <x:v>2910</x:v>
      </x:c>
      <x:c r="I141" t="str">
        <x:v>Inquilino</x:v>
      </x:c>
      <x:c r="J141" t="n">
        <x:v>5</x:v>
      </x:c>
    </x:row>
    <x:row r="142">
      <x:c r="A142" t="str">
        <x:v>CH-00141</x:v>
      </x:c>
      <x:c r="B142" t="str">
        <x:v>IMV-0039</x:v>
      </x:c>
      <x:c r="C142" s="36" t="n">
        <x:v>45929</x:v>
      </x:c>
      <x:c r="D142" t="str">
        <x:v>Eletrodoméstico</x:v>
      </x:c>
      <x:c r="E142" t="str">
        <x:v>Baixa</x:v>
      </x:c>
      <x:c r="F142" t="str">
        <x:v>Aguardando prestador</x:v>
      </x:c>
      <x:c r="G142" t="n">
        <x:v>308</x:v>
      </x:c>
      <x:c r="H142" s="32" t="n">
        <x:v>1710</x:v>
      </x:c>
      <x:c r="I142" t="str">
        <x:v>Proprietário</x:v>
      </x:c>
      <x:c r="J142"/>
    </x:row>
    <x:row r="143">
      <x:c r="A143" t="str">
        <x:v>CH-00142</x:v>
      </x:c>
      <x:c r="B143" t="str">
        <x:v>IMV-0039</x:v>
      </x:c>
      <x:c r="C143" s="36" t="n">
        <x:v>45927</x:v>
      </x:c>
      <x:c r="D143" t="str">
        <x:v>Hidráulica</x:v>
      </x:c>
      <x:c r="E143" t="str">
        <x:v>Baixa</x:v>
      </x:c>
      <x:c r="F143" t="str">
        <x:v>Concluído</x:v>
      </x:c>
      <x:c r="G143" t="n">
        <x:v>15</x:v>
      </x:c>
      <x:c r="H143" s="32" t="n">
        <x:v>2730</x:v>
      </x:c>
      <x:c r="I143" t="str">
        <x:v>Inquilino</x:v>
      </x:c>
      <x:c r="J143" t="n">
        <x:v>4</x:v>
      </x:c>
    </x:row>
    <x:row r="144">
      <x:c r="A144" t="str">
        <x:v>CH-00143</x:v>
      </x:c>
      <x:c r="B144" t="str">
        <x:v>IMV-0039</x:v>
      </x:c>
      <x:c r="C144" s="36" t="n">
        <x:v>46034</x:v>
      </x:c>
      <x:c r="D144" t="str">
        <x:v>Elétrica</x:v>
      </x:c>
      <x:c r="E144" t="str">
        <x:v>Alta</x:v>
      </x:c>
      <x:c r="F144" t="str">
        <x:v>Concluído</x:v>
      </x:c>
      <x:c r="G144" t="n">
        <x:v>21</x:v>
      </x:c>
      <x:c r="H144" s="32" t="n">
        <x:v>3120</x:v>
      </x:c>
      <x:c r="I144" t="str">
        <x:v>Proprietário</x:v>
      </x:c>
      <x:c r="J144" t="n">
        <x:v>1</x:v>
      </x:c>
    </x:row>
    <x:row r="145">
      <x:c r="A145" t="str">
        <x:v>CH-00144</x:v>
      </x:c>
      <x:c r="B145" t="str">
        <x:v>IMV-0040</x:v>
      </x:c>
      <x:c r="C145" s="36" t="n">
        <x:v>46210</x:v>
      </x:c>
      <x:c r="D145" t="str">
        <x:v>Eletrodoméstico</x:v>
      </x:c>
      <x:c r="E145" t="str">
        <x:v>Alta</x:v>
      </x:c>
      <x:c r="F145" t="str">
        <x:v>Aguardando proprietário</x:v>
      </x:c>
      <x:c r="G145" t="n">
        <x:v>27</x:v>
      </x:c>
      <x:c r="H145" s="32" t="n">
        <x:v>1210</x:v>
      </x:c>
      <x:c r="I145" t="str">
        <x:v>Inquilino</x:v>
      </x:c>
      <x:c r="J145"/>
    </x:row>
    <x:row r="146">
      <x:c r="A146" t="str">
        <x:v>CH-00145</x:v>
      </x:c>
      <x:c r="B146" t="str">
        <x:v>IMV-0040</x:v>
      </x:c>
      <x:c r="C146" s="36" t="n">
        <x:v>45991</x:v>
      </x:c>
      <x:c r="D146" t="str">
        <x:v>Pintura</x:v>
      </x:c>
      <x:c r="E146" t="str">
        <x:v>Crítica</x:v>
      </x:c>
      <x:c r="F146" t="str">
        <x:v>Concluído</x:v>
      </x:c>
      <x:c r="G146" t="n">
        <x:v>13</x:v>
      </x:c>
      <x:c r="H146" s="32" t="n">
        <x:v>2370</x:v>
      </x:c>
      <x:c r="I146" t="str">
        <x:v>Inquilino</x:v>
      </x:c>
      <x:c r="J146" t="n">
        <x:v>3</x:v>
      </x:c>
    </x:row>
    <x:row r="147">
      <x:c r="A147" t="str">
        <x:v>CH-00146</x:v>
      </x:c>
      <x:c r="B147" t="str">
        <x:v>IMV-0040</x:v>
      </x:c>
      <x:c r="C147" s="36" t="n">
        <x:v>46076</x:v>
      </x:c>
      <x:c r="D147" t="str">
        <x:v>Pintura</x:v>
      </x:c>
      <x:c r="E147" t="str">
        <x:v>Alta</x:v>
      </x:c>
      <x:c r="F147" t="str">
        <x:v>Em andamento</x:v>
      </x:c>
      <x:c r="G147" t="n">
        <x:v>161</x:v>
      </x:c>
      <x:c r="H147" s="32" t="n">
        <x:v>2780</x:v>
      </x:c>
      <x:c r="I147" t="str">
        <x:v>Proprietário</x:v>
      </x:c>
      <x:c r="J147"/>
    </x:row>
    <x:row r="148">
      <x:c r="A148" t="str">
        <x:v>CH-00147</x:v>
      </x:c>
      <x:c r="B148" t="str">
        <x:v>IMV-0040</x:v>
      </x:c>
      <x:c r="C148" s="36" t="n">
        <x:v>45943</x:v>
      </x:c>
      <x:c r="D148" t="str">
        <x:v>Chaves/Fechadura</x:v>
      </x:c>
      <x:c r="E148" t="str">
        <x:v>Média</x:v>
      </x:c>
      <x:c r="F148" t="str">
        <x:v>Concluído</x:v>
      </x:c>
      <x:c r="G148" t="n">
        <x:v>8</x:v>
      </x:c>
      <x:c r="H148" s="32" t="n">
        <x:v>1750</x:v>
      </x:c>
      <x:c r="I148" t="str">
        <x:v>Inquilino</x:v>
      </x:c>
      <x:c r="J148" t="n">
        <x:v>4</x:v>
      </x:c>
    </x:row>
    <x:row r="149">
      <x:c r="A149" t="str">
        <x:v>CH-00148</x:v>
      </x:c>
      <x:c r="B149" t="str">
        <x:v>IMV-0040</x:v>
      </x:c>
      <x:c r="C149" s="36" t="n">
        <x:v>45963</x:v>
      </x:c>
      <x:c r="D149" t="str">
        <x:v>Estrutural</x:v>
      </x:c>
      <x:c r="E149" t="str">
        <x:v>Crítica</x:v>
      </x:c>
      <x:c r="F149" t="str">
        <x:v>Em andamento</x:v>
      </x:c>
      <x:c r="G149" t="n">
        <x:v>274</x:v>
      </x:c>
      <x:c r="H149" s="32" t="n">
        <x:v>1020</x:v>
      </x:c>
      <x:c r="I149" t="str">
        <x:v>Inquilino</x:v>
      </x:c>
      <x:c r="J149"/>
    </x:row>
    <x:row r="150">
      <x:c r="A150" t="str">
        <x:v>CH-00149</x:v>
      </x:c>
      <x:c r="B150" t="str">
        <x:v>IMV-0040</x:v>
      </x:c>
      <x:c r="C150" s="36" t="n">
        <x:v>45944</x:v>
      </x:c>
      <x:c r="D150" t="str">
        <x:v>Elétrica</x:v>
      </x:c>
      <x:c r="E150" t="str">
        <x:v>Alta</x:v>
      </x:c>
      <x:c r="F150" t="str">
        <x:v>Concluído</x:v>
      </x:c>
      <x:c r="G150" t="n">
        <x:v>19</x:v>
      </x:c>
      <x:c r="H150" s="32" t="n">
        <x:v>3810</x:v>
      </x:c>
      <x:c r="I150" t="str">
        <x:v>Inquilino</x:v>
      </x:c>
      <x:c r="J150" t="n">
        <x:v>3</x:v>
      </x:c>
    </x:row>
    <x:row r="151">
      <x:c r="A151" t="str">
        <x:v>CH-00150</x:v>
      </x:c>
      <x:c r="B151" t="str">
        <x:v>IMV-0042</x:v>
      </x:c>
      <x:c r="C151" s="36" t="n">
        <x:v>46111</x:v>
      </x:c>
      <x:c r="D151" t="str">
        <x:v>Estrutural</x:v>
      </x:c>
      <x:c r="E151" t="str">
        <x:v>Crítica</x:v>
      </x:c>
      <x:c r="F151" t="str">
        <x:v>Aguardando proprietário</x:v>
      </x:c>
      <x:c r="G151" t="n">
        <x:v>126</x:v>
      </x:c>
      <x:c r="H151" s="32" t="n">
        <x:v>780</x:v>
      </x:c>
      <x:c r="I151" t="str">
        <x:v>Inquilino</x:v>
      </x:c>
      <x:c r="J151"/>
    </x:row>
    <x:row r="152">
      <x:c r="A152" t="str">
        <x:v>CH-00151</x:v>
      </x:c>
      <x:c r="B152" t="str">
        <x:v>IMV-0042</x:v>
      </x:c>
      <x:c r="C152" s="36" t="n">
        <x:v>46016</x:v>
      </x:c>
      <x:c r="D152" t="str">
        <x:v>Chaves/Fechadura</x:v>
      </x:c>
      <x:c r="E152" t="str">
        <x:v>Média</x:v>
      </x:c>
      <x:c r="F152" t="str">
        <x:v>Concluído</x:v>
      </x:c>
      <x:c r="G152" t="n">
        <x:v>4</x:v>
      </x:c>
      <x:c r="H152" s="32" t="n">
        <x:v>3050</x:v>
      </x:c>
      <x:c r="I152" t="str">
        <x:v>Imobiliária</x:v>
      </x:c>
      <x:c r="J152" t="n">
        <x:v>4</x:v>
      </x:c>
    </x:row>
    <x:row r="153">
      <x:c r="A153" t="str">
        <x:v>CH-00152</x:v>
      </x:c>
      <x:c r="B153" t="str">
        <x:v>IMV-0043</x:v>
      </x:c>
      <x:c r="C153" s="36" t="n">
        <x:v>46174</x:v>
      </x:c>
      <x:c r="D153" t="str">
        <x:v>Chaves/Fechadura</x:v>
      </x:c>
      <x:c r="E153" t="str">
        <x:v>Alta</x:v>
      </x:c>
      <x:c r="F153" t="str">
        <x:v>Concluído</x:v>
      </x:c>
      <x:c r="G153" t="n">
        <x:v>24</x:v>
      </x:c>
      <x:c r="H153" s="32" t="n">
        <x:v>2850</x:v>
      </x:c>
      <x:c r="I153" t="str">
        <x:v>Inquilino</x:v>
      </x:c>
      <x:c r="J153" t="n">
        <x:v>4</x:v>
      </x:c>
    </x:row>
    <x:row r="154">
      <x:c r="A154" t="str">
        <x:v>CH-00153</x:v>
      </x:c>
      <x:c r="B154" t="str">
        <x:v>IMV-0043</x:v>
      </x:c>
      <x:c r="C154" s="36" t="n">
        <x:v>46063</x:v>
      </x:c>
      <x:c r="D154" t="str">
        <x:v>Hidráulica</x:v>
      </x:c>
      <x:c r="E154" t="str">
        <x:v>Baixa</x:v>
      </x:c>
      <x:c r="F154" t="str">
        <x:v>Aguardando proprietário</x:v>
      </x:c>
      <x:c r="G154" t="n">
        <x:v>174</x:v>
      </x:c>
      <x:c r="H154" s="32" t="n">
        <x:v>1430</x:v>
      </x:c>
      <x:c r="I154" t="str">
        <x:v>Proprietário</x:v>
      </x:c>
      <x:c r="J154"/>
    </x:row>
    <x:row r="155">
      <x:c r="A155" t="str">
        <x:v>CH-00154</x:v>
      </x:c>
      <x:c r="B155" t="str">
        <x:v>IMV-0043</x:v>
      </x:c>
      <x:c r="C155" s="36" t="n">
        <x:v>46177</x:v>
      </x:c>
      <x:c r="D155" t="str">
        <x:v>Estrutural</x:v>
      </x:c>
      <x:c r="E155" t="str">
        <x:v>Crítica</x:v>
      </x:c>
      <x:c r="F155" t="str">
        <x:v>Concluído</x:v>
      </x:c>
      <x:c r="G155" t="n">
        <x:v>8</x:v>
      </x:c>
      <x:c r="H155" s="32" t="n">
        <x:v>1740</x:v>
      </x:c>
      <x:c r="I155" t="str">
        <x:v>Proprietário</x:v>
      </x:c>
      <x:c r="J155" t="n">
        <x:v>4</x:v>
      </x:c>
    </x:row>
    <x:row r="156">
      <x:c r="A156" t="str">
        <x:v>CH-00155</x:v>
      </x:c>
      <x:c r="B156" t="str">
        <x:v>IMV-0043</x:v>
      </x:c>
      <x:c r="C156" s="36" t="n">
        <x:v>46118</x:v>
      </x:c>
      <x:c r="D156" t="str">
        <x:v>Chaves/Fechadura</x:v>
      </x:c>
      <x:c r="E156" t="str">
        <x:v>Média</x:v>
      </x:c>
      <x:c r="F156" t="str">
        <x:v>Concluído</x:v>
      </x:c>
      <x:c r="G156" t="n">
        <x:v>18</x:v>
      </x:c>
      <x:c r="H156" s="32" t="n">
        <x:v>1540</x:v>
      </x:c>
      <x:c r="I156" t="str">
        <x:v>Imobiliária</x:v>
      </x:c>
      <x:c r="J156" t="n">
        <x:v>2</x:v>
      </x:c>
    </x:row>
    <x:row r="157">
      <x:c r="A157" t="str">
        <x:v>CH-00156</x:v>
      </x:c>
      <x:c r="B157" t="str">
        <x:v>IMV-0043</x:v>
      </x:c>
      <x:c r="C157" s="36" t="n">
        <x:v>45986</x:v>
      </x:c>
      <x:c r="D157" t="str">
        <x:v>Eletrodoméstico</x:v>
      </x:c>
      <x:c r="E157" t="str">
        <x:v>Crítica</x:v>
      </x:c>
      <x:c r="F157" t="str">
        <x:v>Concluído</x:v>
      </x:c>
      <x:c r="G157" t="n">
        <x:v>16</x:v>
      </x:c>
      <x:c r="H157" s="32" t="n">
        <x:v>3620</x:v>
      </x:c>
      <x:c r="I157" t="str">
        <x:v>Inquilino</x:v>
      </x:c>
      <x:c r="J157" t="n">
        <x:v>4</x:v>
      </x:c>
    </x:row>
    <x:row r="158">
      <x:c r="A158" t="str">
        <x:v>CH-00157</x:v>
      </x:c>
      <x:c r="B158" t="str">
        <x:v>IMV-0043</x:v>
      </x:c>
      <x:c r="C158" s="36" t="n">
        <x:v>46025</x:v>
      </x:c>
      <x:c r="D158" t="str">
        <x:v>Pintura</x:v>
      </x:c>
      <x:c r="E158" t="str">
        <x:v>Média</x:v>
      </x:c>
      <x:c r="F158" t="str">
        <x:v>Aguardando proprietário</x:v>
      </x:c>
      <x:c r="G158" t="n">
        <x:v>212</x:v>
      </x:c>
      <x:c r="H158" s="32" t="n">
        <x:v>3260</x:v>
      </x:c>
      <x:c r="I158" t="str">
        <x:v>Inquilino</x:v>
      </x:c>
      <x:c r="J158"/>
    </x:row>
    <x:row r="159">
      <x:c r="A159" t="str">
        <x:v>CH-00158</x:v>
      </x:c>
      <x:c r="B159" t="str">
        <x:v>IMV-0044</x:v>
      </x:c>
      <x:c r="C159" s="36" t="n">
        <x:v>45889</x:v>
      </x:c>
      <x:c r="D159" t="str">
        <x:v>Estrutural</x:v>
      </x:c>
      <x:c r="E159" t="str">
        <x:v>Crítica</x:v>
      </x:c>
      <x:c r="F159" t="str">
        <x:v>Aguardando proprietário</x:v>
      </x:c>
      <x:c r="G159" t="n">
        <x:v>348</x:v>
      </x:c>
      <x:c r="H159" s="32" t="n">
        <x:v>590</x:v>
      </x:c>
      <x:c r="I159" t="str">
        <x:v>Imobiliária</x:v>
      </x:c>
      <x:c r="J159"/>
    </x:row>
    <x:row r="160">
      <x:c r="A160" t="str">
        <x:v>CH-00159</x:v>
      </x:c>
      <x:c r="B160" t="str">
        <x:v>IMV-0044</x:v>
      </x:c>
      <x:c r="C160" s="36" t="n">
        <x:v>45925</x:v>
      </x:c>
      <x:c r="D160" t="str">
        <x:v>Pintura</x:v>
      </x:c>
      <x:c r="E160" t="str">
        <x:v>Alta</x:v>
      </x:c>
      <x:c r="F160" t="str">
        <x:v>Concluído</x:v>
      </x:c>
      <x:c r="G160" t="n">
        <x:v>23</x:v>
      </x:c>
      <x:c r="H160" s="32" t="n">
        <x:v>2270</x:v>
      </x:c>
      <x:c r="I160" t="str">
        <x:v>Inquilino</x:v>
      </x:c>
      <x:c r="J160" t="n">
        <x:v>2</x:v>
      </x:c>
    </x:row>
    <x:row r="161">
      <x:c r="A161" t="str">
        <x:v>CH-00160</x:v>
      </x:c>
      <x:c r="B161" t="str">
        <x:v>IMV-0044</x:v>
      </x:c>
      <x:c r="C161" s="36" t="n">
        <x:v>46027</x:v>
      </x:c>
      <x:c r="D161" t="str">
        <x:v>Hidráulica</x:v>
      </x:c>
      <x:c r="E161" t="str">
        <x:v>Crítica</x:v>
      </x:c>
      <x:c r="F161" t="str">
        <x:v>Concluído</x:v>
      </x:c>
      <x:c r="G161" t="n">
        <x:v>14</x:v>
      </x:c>
      <x:c r="H161" s="32" t="n">
        <x:v>1020</x:v>
      </x:c>
      <x:c r="I161" t="str">
        <x:v>Inquilino</x:v>
      </x:c>
      <x:c r="J161" t="n">
        <x:v>2</x:v>
      </x:c>
    </x:row>
    <x:row r="162">
      <x:c r="A162" t="str">
        <x:v>CH-00161</x:v>
      </x:c>
      <x:c r="B162" t="str">
        <x:v>IMV-0044</x:v>
      </x:c>
      <x:c r="C162" s="36" t="n">
        <x:v>46065</x:v>
      </x:c>
      <x:c r="D162" t="str">
        <x:v>Hidráulica</x:v>
      </x:c>
      <x:c r="E162" t="str">
        <x:v>Baixa</x:v>
      </x:c>
      <x:c r="F162" t="str">
        <x:v>Em andamento</x:v>
      </x:c>
      <x:c r="G162" t="n">
        <x:v>172</x:v>
      </x:c>
      <x:c r="H162" s="32" t="n">
        <x:v>1740</x:v>
      </x:c>
      <x:c r="I162" t="str">
        <x:v>Inquilino</x:v>
      </x:c>
      <x:c r="J162"/>
    </x:row>
    <x:row r="163">
      <x:c r="A163" t="str">
        <x:v>CH-00162</x:v>
      </x:c>
      <x:c r="B163" t="str">
        <x:v>IMV-0044</x:v>
      </x:c>
      <x:c r="C163" s="36" t="n">
        <x:v>46089</x:v>
      </x:c>
      <x:c r="D163" t="str">
        <x:v>Chaves/Fechadura</x:v>
      </x:c>
      <x:c r="E163" t="str">
        <x:v>Alta</x:v>
      </x:c>
      <x:c r="F163" t="str">
        <x:v>Em andamento</x:v>
      </x:c>
      <x:c r="G163" t="n">
        <x:v>148</x:v>
      </x:c>
      <x:c r="H163" s="32" t="n">
        <x:v>1710</x:v>
      </x:c>
      <x:c r="I163" t="str">
        <x:v>Imobiliária</x:v>
      </x:c>
      <x:c r="J163"/>
    </x:row>
    <x:row r="164">
      <x:c r="A164" t="str">
        <x:v>CH-00163</x:v>
      </x:c>
      <x:c r="B164" t="str">
        <x:v>IMV-0044</x:v>
      </x:c>
      <x:c r="C164" s="36" t="n">
        <x:v>46199</x:v>
      </x:c>
      <x:c r="D164" t="str">
        <x:v>Estrutural</x:v>
      </x:c>
      <x:c r="E164" t="str">
        <x:v>Baixa</x:v>
      </x:c>
      <x:c r="F164" t="str">
        <x:v>Concluído</x:v>
      </x:c>
      <x:c r="G164" t="n">
        <x:v>24</x:v>
      </x:c>
      <x:c r="H164" s="32" t="n">
        <x:v>2720</x:v>
      </x:c>
      <x:c r="I164" t="str">
        <x:v>Proprietário</x:v>
      </x:c>
      <x:c r="J164" t="n">
        <x:v>5</x:v>
      </x:c>
    </x:row>
    <x:row r="165">
      <x:c r="A165" t="str">
        <x:v>CH-00164</x:v>
      </x:c>
      <x:c r="B165" t="str">
        <x:v>IMV-0044</x:v>
      </x:c>
      <x:c r="C165" s="36" t="n">
        <x:v>46065</x:v>
      </x:c>
      <x:c r="D165" t="str">
        <x:v>Eletrodoméstico</x:v>
      </x:c>
      <x:c r="E165" t="str">
        <x:v>Baixa</x:v>
      </x:c>
      <x:c r="F165" t="str">
        <x:v>Concluído</x:v>
      </x:c>
      <x:c r="G165" t="n">
        <x:v>16</x:v>
      </x:c>
      <x:c r="H165" s="32" t="n">
        <x:v>260</x:v>
      </x:c>
      <x:c r="I165" t="str">
        <x:v>Imobiliária</x:v>
      </x:c>
      <x:c r="J165" t="n">
        <x:v>5</x:v>
      </x:c>
    </x:row>
    <x:row r="166">
      <x:c r="A166" t="str">
        <x:v>CH-00165</x:v>
      </x:c>
      <x:c r="B166" t="str">
        <x:v>IMV-0045</x:v>
      </x:c>
      <x:c r="C166" s="36" t="n">
        <x:v>46150</x:v>
      </x:c>
      <x:c r="D166" t="str">
        <x:v>Estrutural</x:v>
      </x:c>
      <x:c r="E166" t="str">
        <x:v>Alta</x:v>
      </x:c>
      <x:c r="F166" t="str">
        <x:v>Concluído</x:v>
      </x:c>
      <x:c r="G166" t="n">
        <x:v>16</x:v>
      </x:c>
      <x:c r="H166" s="32" t="n">
        <x:v>2240</x:v>
      </x:c>
      <x:c r="I166" t="str">
        <x:v>Imobiliária</x:v>
      </x:c>
      <x:c r="J166" t="n">
        <x:v>3</x:v>
      </x:c>
    </x:row>
    <x:row r="167">
      <x:c r="A167" t="str">
        <x:v>CH-00166</x:v>
      </x:c>
      <x:c r="B167" t="str">
        <x:v>IMV-0046</x:v>
      </x:c>
      <x:c r="C167" s="36" t="n">
        <x:v>46110</x:v>
      </x:c>
      <x:c r="D167" t="str">
        <x:v>Chaves/Fechadura</x:v>
      </x:c>
      <x:c r="E167" t="str">
        <x:v>Alta</x:v>
      </x:c>
      <x:c r="F167" t="str">
        <x:v>Concluído</x:v>
      </x:c>
      <x:c r="G167" t="n">
        <x:v>4</x:v>
      </x:c>
      <x:c r="H167" s="32" t="n">
        <x:v>2120</x:v>
      </x:c>
      <x:c r="I167" t="str">
        <x:v>Inquilino</x:v>
      </x:c>
      <x:c r="J167" t="n">
        <x:v>5</x:v>
      </x:c>
    </x:row>
    <x:row r="168">
      <x:c r="A168" t="str">
        <x:v>CH-00167</x:v>
      </x:c>
      <x:c r="B168" t="str">
        <x:v>IMV-0046</x:v>
      </x:c>
      <x:c r="C168" s="36" t="n">
        <x:v>46074</x:v>
      </x:c>
      <x:c r="D168" t="str">
        <x:v>Estrutural</x:v>
      </x:c>
      <x:c r="E168" t="str">
        <x:v>Alta</x:v>
      </x:c>
      <x:c r="F168" t="str">
        <x:v>Aguardando prestador</x:v>
      </x:c>
      <x:c r="G168" t="n">
        <x:v>163</x:v>
      </x:c>
      <x:c r="H168" s="32" t="n">
        <x:v>910</x:v>
      </x:c>
      <x:c r="I168" t="str">
        <x:v>Imobiliária</x:v>
      </x:c>
      <x:c r="J168"/>
    </x:row>
    <x:row r="169">
      <x:c r="A169" t="str">
        <x:v>CH-00168</x:v>
      </x:c>
      <x:c r="B169" t="str">
        <x:v>IMV-0046</x:v>
      </x:c>
      <x:c r="C169" s="36" t="n">
        <x:v>46221</x:v>
      </x:c>
      <x:c r="D169" t="str">
        <x:v>Estrutural</x:v>
      </x:c>
      <x:c r="E169" t="str">
        <x:v>Crítica</x:v>
      </x:c>
      <x:c r="F169" t="str">
        <x:v>Aguardando proprietário</x:v>
      </x:c>
      <x:c r="G169" t="n">
        <x:v>16</x:v>
      </x:c>
      <x:c r="H169" s="32" t="n">
        <x:v>190</x:v>
      </x:c>
      <x:c r="I169" t="str">
        <x:v>Inquilino</x:v>
      </x:c>
      <x:c r="J169"/>
    </x:row>
    <x:row r="170">
      <x:c r="A170" t="str">
        <x:v>CH-00169</x:v>
      </x:c>
      <x:c r="B170" t="str">
        <x:v>IMV-0046</x:v>
      </x:c>
      <x:c r="C170" s="36" t="n">
        <x:v>45890</x:v>
      </x:c>
      <x:c r="D170" t="str">
        <x:v>Pintura</x:v>
      </x:c>
      <x:c r="E170" t="str">
        <x:v>Média</x:v>
      </x:c>
      <x:c r="F170" t="str">
        <x:v>Concluído</x:v>
      </x:c>
      <x:c r="G170" t="n">
        <x:v>24</x:v>
      </x:c>
      <x:c r="H170" s="32" t="n">
        <x:v>3760</x:v>
      </x:c>
      <x:c r="I170" t="str">
        <x:v>Proprietário</x:v>
      </x:c>
      <x:c r="J170" t="n">
        <x:v>5</x:v>
      </x:c>
    </x:row>
    <x:row r="171">
      <x:c r="A171" t="str">
        <x:v>CH-00170</x:v>
      </x:c>
      <x:c r="B171" t="str">
        <x:v>IMV-0046</x:v>
      </x:c>
      <x:c r="C171" s="36" t="n">
        <x:v>46008</x:v>
      </x:c>
      <x:c r="D171" t="str">
        <x:v>Eletrodoméstico</x:v>
      </x:c>
      <x:c r="E171" t="str">
        <x:v>Média</x:v>
      </x:c>
      <x:c r="F171" t="str">
        <x:v>Concluído</x:v>
      </x:c>
      <x:c r="G171" t="n">
        <x:v>24</x:v>
      </x:c>
      <x:c r="H171" s="32" t="n">
        <x:v>3070</x:v>
      </x:c>
      <x:c r="I171" t="str">
        <x:v>Proprietário</x:v>
      </x:c>
      <x:c r="J171" t="n">
        <x:v>2</x:v>
      </x:c>
    </x:row>
    <x:row r="172">
      <x:c r="A172" t="str">
        <x:v>CH-00171</x:v>
      </x:c>
      <x:c r="B172" t="str">
        <x:v>IMV-0046</x:v>
      </x:c>
      <x:c r="C172" s="36" t="n">
        <x:v>46218</x:v>
      </x:c>
      <x:c r="D172" t="str">
        <x:v>Elétrica</x:v>
      </x:c>
      <x:c r="E172" t="str">
        <x:v>Crítica</x:v>
      </x:c>
      <x:c r="F172" t="str">
        <x:v>Concluído</x:v>
      </x:c>
      <x:c r="G172" t="n">
        <x:v>8</x:v>
      </x:c>
      <x:c r="H172" s="32" t="n">
        <x:v>520</x:v>
      </x:c>
      <x:c r="I172" t="str">
        <x:v>Proprietário</x:v>
      </x:c>
      <x:c r="J172" t="n">
        <x:v>3</x:v>
      </x:c>
    </x:row>
    <x:row r="173">
      <x:c r="A173" t="str">
        <x:v>CH-00172</x:v>
      </x:c>
      <x:c r="B173" t="str">
        <x:v>IMV-0046</x:v>
      </x:c>
      <x:c r="C173" s="36" t="n">
        <x:v>45966</x:v>
      </x:c>
      <x:c r="D173" t="str">
        <x:v>Eletrodoméstico</x:v>
      </x:c>
      <x:c r="E173" t="str">
        <x:v>Crítica</x:v>
      </x:c>
      <x:c r="F173" t="str">
        <x:v>Concluído</x:v>
      </x:c>
      <x:c r="G173" t="n">
        <x:v>25</x:v>
      </x:c>
      <x:c r="H173" s="32" t="n">
        <x:v>4170</x:v>
      </x:c>
      <x:c r="I173" t="str">
        <x:v>Proprietário</x:v>
      </x:c>
      <x:c r="J173" t="n">
        <x:v>1</x:v>
      </x:c>
    </x:row>
    <x:row r="174">
      <x:c r="A174" t="str">
        <x:v>CH-00173</x:v>
      </x:c>
      <x:c r="B174" t="str">
        <x:v>IMV-0047</x:v>
      </x:c>
      <x:c r="C174" s="36" t="n">
        <x:v>45968</x:v>
      </x:c>
      <x:c r="D174" t="str">
        <x:v>Hidráulica</x:v>
      </x:c>
      <x:c r="E174" t="str">
        <x:v>Baixa</x:v>
      </x:c>
      <x:c r="F174" t="str">
        <x:v>Em andamento</x:v>
      </x:c>
      <x:c r="G174" t="n">
        <x:v>269</x:v>
      </x:c>
      <x:c r="H174" s="32" t="n">
        <x:v>1430</x:v>
      </x:c>
      <x:c r="I174" t="str">
        <x:v>Proprietário</x:v>
      </x:c>
      <x:c r="J174"/>
    </x:row>
    <x:row r="175">
      <x:c r="A175" t="str">
        <x:v>CH-00174</x:v>
      </x:c>
      <x:c r="B175" t="str">
        <x:v>IMV-0047</x:v>
      </x:c>
      <x:c r="C175" s="36" t="n">
        <x:v>46041</x:v>
      </x:c>
      <x:c r="D175" t="str">
        <x:v>Hidráulica</x:v>
      </x:c>
      <x:c r="E175" t="str">
        <x:v>Alta</x:v>
      </x:c>
      <x:c r="F175" t="str">
        <x:v>Em andamento</x:v>
      </x:c>
      <x:c r="G175" t="n">
        <x:v>196</x:v>
      </x:c>
      <x:c r="H175" s="32" t="n">
        <x:v>1920</x:v>
      </x:c>
      <x:c r="I175" t="str">
        <x:v>Imobiliária</x:v>
      </x:c>
      <x:c r="J175"/>
    </x:row>
    <x:row r="176">
      <x:c r="A176" t="str">
        <x:v>CH-00175</x:v>
      </x:c>
      <x:c r="B176" t="str">
        <x:v>IMV-0047</x:v>
      </x:c>
      <x:c r="C176" s="36" t="n">
        <x:v>45895</x:v>
      </x:c>
      <x:c r="D176" t="str">
        <x:v>Elétrica</x:v>
      </x:c>
      <x:c r="E176" t="str">
        <x:v>Crítica</x:v>
      </x:c>
      <x:c r="F176" t="str">
        <x:v>Aguardando prestador</x:v>
      </x:c>
      <x:c r="G176" t="n">
        <x:v>342</x:v>
      </x:c>
      <x:c r="H176" s="32" t="n">
        <x:v>3710</x:v>
      </x:c>
      <x:c r="I176" t="str">
        <x:v>Proprietário</x:v>
      </x:c>
      <x:c r="J176"/>
    </x:row>
    <x:row r="177">
      <x:c r="A177" t="str">
        <x:v>CH-00176</x:v>
      </x:c>
      <x:c r="B177" t="str">
        <x:v>IMV-0048</x:v>
      </x:c>
      <x:c r="C177" s="36" t="n">
        <x:v>46064</x:v>
      </x:c>
      <x:c r="D177" t="str">
        <x:v>Pintura</x:v>
      </x:c>
      <x:c r="E177" t="str">
        <x:v>Crítica</x:v>
      </x:c>
      <x:c r="F177" t="str">
        <x:v>Concluído</x:v>
      </x:c>
      <x:c r="G177" t="n">
        <x:v>5</x:v>
      </x:c>
      <x:c r="H177" s="32" t="n">
        <x:v>3400</x:v>
      </x:c>
      <x:c r="I177" t="str">
        <x:v>Imobiliária</x:v>
      </x:c>
      <x:c r="J177" t="n">
        <x:v>3</x:v>
      </x:c>
    </x:row>
    <x:row r="178">
      <x:c r="A178" t="str">
        <x:v>CH-00177</x:v>
      </x:c>
      <x:c r="B178" t="str">
        <x:v>IMV-0048</x:v>
      </x:c>
      <x:c r="C178" s="36" t="n">
        <x:v>46082</x:v>
      </x:c>
      <x:c r="D178" t="str">
        <x:v>Pintura</x:v>
      </x:c>
      <x:c r="E178" t="str">
        <x:v>Crítica</x:v>
      </x:c>
      <x:c r="F178" t="str">
        <x:v>Em andamento</x:v>
      </x:c>
      <x:c r="G178" t="n">
        <x:v>155</x:v>
      </x:c>
      <x:c r="H178" s="32" t="n">
        <x:v>3600</x:v>
      </x:c>
      <x:c r="I178" t="str">
        <x:v>Inquilino</x:v>
      </x:c>
      <x:c r="J178"/>
    </x:row>
    <x:row r="179">
      <x:c r="A179" t="str">
        <x:v>CH-00178</x:v>
      </x:c>
      <x:c r="B179" t="str">
        <x:v>IMV-0048</x:v>
      </x:c>
      <x:c r="C179" s="36" t="n">
        <x:v>45978</x:v>
      </x:c>
      <x:c r="D179" t="str">
        <x:v>Eletrodoméstico</x:v>
      </x:c>
      <x:c r="E179" t="str">
        <x:v>Média</x:v>
      </x:c>
      <x:c r="F179" t="str">
        <x:v>Concluído</x:v>
      </x:c>
      <x:c r="G179" t="n">
        <x:v>9</x:v>
      </x:c>
      <x:c r="H179" s="32" t="n">
        <x:v>1970</x:v>
      </x:c>
      <x:c r="I179" t="str">
        <x:v>Proprietário</x:v>
      </x:c>
      <x:c r="J179" t="n">
        <x:v>2</x:v>
      </x:c>
    </x:row>
    <x:row r="180">
      <x:c r="A180" t="str">
        <x:v>CH-00179</x:v>
      </x:c>
      <x:c r="B180" t="str">
        <x:v>IMV-0049</x:v>
      </x:c>
      <x:c r="C180" s="36" t="n">
        <x:v>46010</x:v>
      </x:c>
      <x:c r="D180" t="str">
        <x:v>Eletrodoméstico</x:v>
      </x:c>
      <x:c r="E180" t="str">
        <x:v>Baixa</x:v>
      </x:c>
      <x:c r="F180" t="str">
        <x:v>Concluído</x:v>
      </x:c>
      <x:c r="G180" t="n">
        <x:v>22</x:v>
      </x:c>
      <x:c r="H180" s="32" t="n">
        <x:v>1280</x:v>
      </x:c>
      <x:c r="I180" t="str">
        <x:v>Proprietário</x:v>
      </x:c>
      <x:c r="J180" t="n">
        <x:v>3</x:v>
      </x:c>
    </x:row>
    <x:row r="181">
      <x:c r="A181" t="str">
        <x:v>CH-00180</x:v>
      </x:c>
      <x:c r="B181" t="str">
        <x:v>IMV-0049</x:v>
      </x:c>
      <x:c r="C181" s="36" t="n">
        <x:v>46109</x:v>
      </x:c>
      <x:c r="D181" t="str">
        <x:v>Pintura</x:v>
      </x:c>
      <x:c r="E181" t="str">
        <x:v>Média</x:v>
      </x:c>
      <x:c r="F181" t="str">
        <x:v>Concluído</x:v>
      </x:c>
      <x:c r="G181" t="n">
        <x:v>5</x:v>
      </x:c>
      <x:c r="H181" s="32" t="n">
        <x:v>1110</x:v>
      </x:c>
      <x:c r="I181" t="str">
        <x:v>Imobiliária</x:v>
      </x:c>
      <x:c r="J181" t="n">
        <x:v>5</x:v>
      </x:c>
    </x:row>
    <x:row r="182">
      <x:c r="A182" t="str">
        <x:v>CH-00181</x:v>
      </x:c>
      <x:c r="B182" t="str">
        <x:v>IMV-0049</x:v>
      </x:c>
      <x:c r="C182" s="36" t="n">
        <x:v>45941</x:v>
      </x:c>
      <x:c r="D182" t="str">
        <x:v>Estrutural</x:v>
      </x:c>
      <x:c r="E182" t="str">
        <x:v>Média</x:v>
      </x:c>
      <x:c r="F182" t="str">
        <x:v>Concluído</x:v>
      </x:c>
      <x:c r="G182" t="n">
        <x:v>5</x:v>
      </x:c>
      <x:c r="H182" s="32" t="n">
        <x:v>1860</x:v>
      </x:c>
      <x:c r="I182" t="str">
        <x:v>Imobiliária</x:v>
      </x:c>
      <x:c r="J182" t="n">
        <x:v>3</x:v>
      </x:c>
    </x:row>
    <x:row r="183">
      <x:c r="A183" t="str">
        <x:v>CH-00182</x:v>
      </x:c>
      <x:c r="B183" t="str">
        <x:v>IMV-0049</x:v>
      </x:c>
      <x:c r="C183" s="36" t="n">
        <x:v>45910</x:v>
      </x:c>
      <x:c r="D183" t="str">
        <x:v>Estrutural</x:v>
      </x:c>
      <x:c r="E183" t="str">
        <x:v>Média</x:v>
      </x:c>
      <x:c r="F183" t="str">
        <x:v>Concluído</x:v>
      </x:c>
      <x:c r="G183" t="n">
        <x:v>11</x:v>
      </x:c>
      <x:c r="H183" s="32" t="n">
        <x:v>1670</x:v>
      </x:c>
      <x:c r="I183" t="str">
        <x:v>Inquilino</x:v>
      </x:c>
      <x:c r="J183" t="n">
        <x:v>2</x:v>
      </x:c>
    </x:row>
    <x:row r="184">
      <x:c r="A184" t="str">
        <x:v>CH-00183</x:v>
      </x:c>
      <x:c r="B184" t="str">
        <x:v>IMV-0049</x:v>
      </x:c>
      <x:c r="C184" s="36" t="n">
        <x:v>45875</x:v>
      </x:c>
      <x:c r="D184" t="str">
        <x:v>Chaves/Fechadura</x:v>
      </x:c>
      <x:c r="E184" t="str">
        <x:v>Alta</x:v>
      </x:c>
      <x:c r="F184" t="str">
        <x:v>Em andamento</x:v>
      </x:c>
      <x:c r="G184" t="n">
        <x:v>362</x:v>
      </x:c>
      <x:c r="H184" s="32" t="n">
        <x:v>2530</x:v>
      </x:c>
      <x:c r="I184" t="str">
        <x:v>Inquilino</x:v>
      </x:c>
      <x:c r="J184"/>
    </x:row>
    <x:row r="185">
      <x:c r="A185" t="str">
        <x:v>CH-00184</x:v>
      </x:c>
      <x:c r="B185" t="str">
        <x:v>IMV-0049</x:v>
      </x:c>
      <x:c r="C185" s="36" t="n">
        <x:v>46154</x:v>
      </x:c>
      <x:c r="D185" t="str">
        <x:v>Estrutural</x:v>
      </x:c>
      <x:c r="E185" t="str">
        <x:v>Alta</x:v>
      </x:c>
      <x:c r="F185" t="str">
        <x:v>Concluído</x:v>
      </x:c>
      <x:c r="G185" t="n">
        <x:v>11</x:v>
      </x:c>
      <x:c r="H185" s="32" t="n">
        <x:v>1340</x:v>
      </x:c>
      <x:c r="I185" t="str">
        <x:v>Inquilino</x:v>
      </x:c>
      <x:c r="J185" t="n">
        <x:v>2</x:v>
      </x:c>
    </x:row>
    <x:row r="186">
      <x:c r="A186" t="str">
        <x:v>CH-00185</x:v>
      </x:c>
      <x:c r="B186" t="str">
        <x:v>IMV-0049</x:v>
      </x:c>
      <x:c r="C186" s="36" t="n">
        <x:v>46053</x:v>
      </x:c>
      <x:c r="D186" t="str">
        <x:v>Pintura</x:v>
      </x:c>
      <x:c r="E186" t="str">
        <x:v>Alta</x:v>
      </x:c>
      <x:c r="F186" t="str">
        <x:v>Concluído</x:v>
      </x:c>
      <x:c r="G186" t="n">
        <x:v>16</x:v>
      </x:c>
      <x:c r="H186" s="32" t="n">
        <x:v>1080</x:v>
      </x:c>
      <x:c r="I186" t="str">
        <x:v>Inquilino</x:v>
      </x:c>
      <x:c r="J186" t="n">
        <x:v>1</x:v>
      </x:c>
    </x:row>
    <x:row r="187">
      <x:c r="A187" t="str">
        <x:v>CH-00186</x:v>
      </x:c>
      <x:c r="B187" t="str">
        <x:v>IMV-0050</x:v>
      </x:c>
      <x:c r="C187" s="36" t="n">
        <x:v>46014</x:v>
      </x:c>
      <x:c r="D187" t="str">
        <x:v>Elétrica</x:v>
      </x:c>
      <x:c r="E187" t="str">
        <x:v>Crítica</x:v>
      </x:c>
      <x:c r="F187" t="str">
        <x:v>Concluído</x:v>
      </x:c>
      <x:c r="G187" t="n">
        <x:v>17</x:v>
      </x:c>
      <x:c r="H187" s="32" t="n">
        <x:v>3870</x:v>
      </x:c>
      <x:c r="I187" t="str">
        <x:v>Proprietário</x:v>
      </x:c>
      <x:c r="J187" t="n">
        <x:v>3</x:v>
      </x:c>
    </x:row>
    <x:row r="188">
      <x:c r="A188" t="str">
        <x:v>CH-00187</x:v>
      </x:c>
      <x:c r="B188" t="str">
        <x:v>IMV-0050</x:v>
      </x:c>
      <x:c r="C188" s="36" t="n">
        <x:v>46053</x:v>
      </x:c>
      <x:c r="D188" t="str">
        <x:v>Estrutural</x:v>
      </x:c>
      <x:c r="E188" t="str">
        <x:v>Crítica</x:v>
      </x:c>
      <x:c r="F188" t="str">
        <x:v>Aguardando prestador</x:v>
      </x:c>
      <x:c r="G188" t="n">
        <x:v>184</x:v>
      </x:c>
      <x:c r="H188" s="32" t="n">
        <x:v>2450</x:v>
      </x:c>
      <x:c r="I188" t="str">
        <x:v>Imobiliária</x:v>
      </x:c>
      <x:c r="J188"/>
    </x:row>
    <x:row r="189">
      <x:c r="A189" t="str">
        <x:v>CH-00188</x:v>
      </x:c>
      <x:c r="B189" t="str">
        <x:v>IMV-0050</x:v>
      </x:c>
      <x:c r="C189" s="36" t="n">
        <x:v>46138</x:v>
      </x:c>
      <x:c r="D189" t="str">
        <x:v>Pintura</x:v>
      </x:c>
      <x:c r="E189" t="str">
        <x:v>Alta</x:v>
      </x:c>
      <x:c r="F189" t="str">
        <x:v>Em andamento</x:v>
      </x:c>
      <x:c r="G189" t="n">
        <x:v>99</x:v>
      </x:c>
      <x:c r="H189" s="32" t="n">
        <x:v>1190</x:v>
      </x:c>
      <x:c r="I189" t="str">
        <x:v>Inquilino</x:v>
      </x:c>
      <x:c r="J189"/>
    </x:row>
    <x:row r="190">
      <x:c r="A190" t="str">
        <x:v>CH-00189</x:v>
      </x:c>
      <x:c r="B190" t="str">
        <x:v>IMV-0050</x:v>
      </x:c>
      <x:c r="C190" s="36" t="n">
        <x:v>45927</x:v>
      </x:c>
      <x:c r="D190" t="str">
        <x:v>Pintura</x:v>
      </x:c>
      <x:c r="E190" t="str">
        <x:v>Média</x:v>
      </x:c>
      <x:c r="F190" t="str">
        <x:v>Concluído</x:v>
      </x:c>
      <x:c r="G190" t="n">
        <x:v>15</x:v>
      </x:c>
      <x:c r="H190" s="32" t="n">
        <x:v>1510</x:v>
      </x:c>
      <x:c r="I190" t="str">
        <x:v>Proprietário</x:v>
      </x:c>
      <x:c r="J190" t="n">
        <x:v>3</x:v>
      </x:c>
    </x:row>
    <x:row r="191">
      <x:c r="A191" t="str">
        <x:v>CH-00190</x:v>
      </x:c>
      <x:c r="B191" t="str">
        <x:v>IMV-0051</x:v>
      </x:c>
      <x:c r="C191" s="36" t="n">
        <x:v>46001</x:v>
      </x:c>
      <x:c r="D191" t="str">
        <x:v>Elétrica</x:v>
      </x:c>
      <x:c r="E191" t="str">
        <x:v>Crítica</x:v>
      </x:c>
      <x:c r="F191" t="str">
        <x:v>Concluído</x:v>
      </x:c>
      <x:c r="G191" t="n">
        <x:v>22</x:v>
      </x:c>
      <x:c r="H191" s="32" t="n">
        <x:v>4120</x:v>
      </x:c>
      <x:c r="I191" t="str">
        <x:v>Proprietário</x:v>
      </x:c>
      <x:c r="J191" t="n">
        <x:v>3</x:v>
      </x:c>
    </x:row>
    <x:row r="192">
      <x:c r="A192" t="str">
        <x:v>CH-00191</x:v>
      </x:c>
      <x:c r="B192" t="str">
        <x:v>IMV-0051</x:v>
      </x:c>
      <x:c r="C192" s="36" t="n">
        <x:v>45906</x:v>
      </x:c>
      <x:c r="D192" t="str">
        <x:v>Chaves/Fechadura</x:v>
      </x:c>
      <x:c r="E192" t="str">
        <x:v>Crítica</x:v>
      </x:c>
      <x:c r="F192" t="str">
        <x:v>Aguardando proprietário</x:v>
      </x:c>
      <x:c r="G192" t="n">
        <x:v>331</x:v>
      </x:c>
      <x:c r="H192" s="32" t="n">
        <x:v>1530</x:v>
      </x:c>
      <x:c r="I192" t="str">
        <x:v>Proprietário</x:v>
      </x:c>
      <x:c r="J192"/>
    </x:row>
    <x:row r="193">
      <x:c r="A193" t="str">
        <x:v>CH-00192</x:v>
      </x:c>
      <x:c r="B193" t="str">
        <x:v>IMV-0052</x:v>
      </x:c>
      <x:c r="C193" s="36" t="n">
        <x:v>45974</x:v>
      </x:c>
      <x:c r="D193" t="str">
        <x:v>Pintura</x:v>
      </x:c>
      <x:c r="E193" t="str">
        <x:v>Baixa</x:v>
      </x:c>
      <x:c r="F193" t="str">
        <x:v>Aguardando prestador</x:v>
      </x:c>
      <x:c r="G193" t="n">
        <x:v>263</x:v>
      </x:c>
      <x:c r="H193" s="32" t="n">
        <x:v>4390</x:v>
      </x:c>
      <x:c r="I193" t="str">
        <x:v>Inquilino</x:v>
      </x:c>
      <x:c r="J193"/>
    </x:row>
    <x:row r="194">
      <x:c r="A194" t="str">
        <x:v>CH-00193</x:v>
      </x:c>
      <x:c r="B194" t="str">
        <x:v>IMV-0052</x:v>
      </x:c>
      <x:c r="C194" s="36" t="n">
        <x:v>46046</x:v>
      </x:c>
      <x:c r="D194" t="str">
        <x:v>Chaves/Fechadura</x:v>
      </x:c>
      <x:c r="E194" t="str">
        <x:v>Alta</x:v>
      </x:c>
      <x:c r="F194" t="str">
        <x:v>Em andamento</x:v>
      </x:c>
      <x:c r="G194" t="n">
        <x:v>191</x:v>
      </x:c>
      <x:c r="H194" s="32" t="n">
        <x:v>600</x:v>
      </x:c>
      <x:c r="I194" t="str">
        <x:v>Imobiliária</x:v>
      </x:c>
      <x:c r="J194"/>
    </x:row>
    <x:row r="195">
      <x:c r="A195" t="str">
        <x:v>CH-00194</x:v>
      </x:c>
      <x:c r="B195" t="str">
        <x:v>IMV-0052</x:v>
      </x:c>
      <x:c r="C195" s="36" t="n">
        <x:v>46039</x:v>
      </x:c>
      <x:c r="D195" t="str">
        <x:v>Hidráulica</x:v>
      </x:c>
      <x:c r="E195" t="str">
        <x:v>Crítica</x:v>
      </x:c>
      <x:c r="F195" t="str">
        <x:v>Aguardando proprietário</x:v>
      </x:c>
      <x:c r="G195" t="n">
        <x:v>198</x:v>
      </x:c>
      <x:c r="H195" s="32" t="n">
        <x:v>530</x:v>
      </x:c>
      <x:c r="I195" t="str">
        <x:v>Proprietário</x:v>
      </x:c>
      <x:c r="J195"/>
    </x:row>
    <x:row r="196">
      <x:c r="A196" t="str">
        <x:v>CH-00195</x:v>
      </x:c>
      <x:c r="B196" t="str">
        <x:v>IMV-0052</x:v>
      </x:c>
      <x:c r="C196" s="36" t="n">
        <x:v>46188</x:v>
      </x:c>
      <x:c r="D196" t="str">
        <x:v>Hidráulica</x:v>
      </x:c>
      <x:c r="E196" t="str">
        <x:v>Média</x:v>
      </x:c>
      <x:c r="F196" t="str">
        <x:v>Em andamento</x:v>
      </x:c>
      <x:c r="G196" t="n">
        <x:v>49</x:v>
      </x:c>
      <x:c r="H196" s="32" t="n">
        <x:v>1770</x:v>
      </x:c>
      <x:c r="I196" t="str">
        <x:v>Imobiliária</x:v>
      </x:c>
      <x:c r="J196"/>
    </x:row>
    <x:row r="197">
      <x:c r="A197" t="str">
        <x:v>CH-00196</x:v>
      </x:c>
      <x:c r="B197" t="str">
        <x:v>IMV-0052</x:v>
      </x:c>
      <x:c r="C197" s="36" t="n">
        <x:v>45929</x:v>
      </x:c>
      <x:c r="D197" t="str">
        <x:v>Hidráulica</x:v>
      </x:c>
      <x:c r="E197" t="str">
        <x:v>Crítica</x:v>
      </x:c>
      <x:c r="F197" t="str">
        <x:v>Concluído</x:v>
      </x:c>
      <x:c r="G197" t="n">
        <x:v>6</x:v>
      </x:c>
      <x:c r="H197" s="32" t="n">
        <x:v>2400</x:v>
      </x:c>
      <x:c r="I197" t="str">
        <x:v>Imobiliária</x:v>
      </x:c>
      <x:c r="J197" t="n">
        <x:v>1</x:v>
      </x:c>
    </x:row>
    <x:row r="198">
      <x:c r="A198" t="str">
        <x:v>CH-00197</x:v>
      </x:c>
      <x:c r="B198" t="str">
        <x:v>IMV-0053</x:v>
      </x:c>
      <x:c r="C198" s="36" t="n">
        <x:v>46080</x:v>
      </x:c>
      <x:c r="D198" t="str">
        <x:v>Estrutural</x:v>
      </x:c>
      <x:c r="E198" t="str">
        <x:v>Crítica</x:v>
      </x:c>
      <x:c r="F198" t="str">
        <x:v>Concluído</x:v>
      </x:c>
      <x:c r="G198" t="n">
        <x:v>13</x:v>
      </x:c>
      <x:c r="H198" s="32" t="n">
        <x:v>1170</x:v>
      </x:c>
      <x:c r="I198" t="str">
        <x:v>Inquilino</x:v>
      </x:c>
      <x:c r="J198" t="n">
        <x:v>4</x:v>
      </x:c>
    </x:row>
    <x:row r="199">
      <x:c r="A199" t="str">
        <x:v>CH-00198</x:v>
      </x:c>
      <x:c r="B199" t="str">
        <x:v>IMV-0053</x:v>
      </x:c>
      <x:c r="C199" s="36" t="n">
        <x:v>46044</x:v>
      </x:c>
      <x:c r="D199" t="str">
        <x:v>Eletrodoméstico</x:v>
      </x:c>
      <x:c r="E199" t="str">
        <x:v>Alta</x:v>
      </x:c>
      <x:c r="F199" t="str">
        <x:v>Aguardando prestador</x:v>
      </x:c>
      <x:c r="G199" t="n">
        <x:v>193</x:v>
      </x:c>
      <x:c r="H199" s="32" t="n">
        <x:v>3180</x:v>
      </x:c>
      <x:c r="I199" t="str">
        <x:v>Inquilino</x:v>
      </x:c>
      <x:c r="J199"/>
    </x:row>
    <x:row r="200">
      <x:c r="A200" t="str">
        <x:v>CH-00199</x:v>
      </x:c>
      <x:c r="B200" t="str">
        <x:v>IMV-0053</x:v>
      </x:c>
      <x:c r="C200" s="36" t="n">
        <x:v>46229</x:v>
      </x:c>
      <x:c r="D200" t="str">
        <x:v>Eletrodoméstico</x:v>
      </x:c>
      <x:c r="E200" t="str">
        <x:v>Média</x:v>
      </x:c>
      <x:c r="F200" t="str">
        <x:v>Aguardando proprietário</x:v>
      </x:c>
      <x:c r="G200" t="n">
        <x:v>8</x:v>
      </x:c>
      <x:c r="H200" s="32" t="n">
        <x:v>2920</x:v>
      </x:c>
      <x:c r="I200" t="str">
        <x:v>Imobiliária</x:v>
      </x:c>
      <x:c r="J200"/>
    </x:row>
    <x:row r="201">
      <x:c r="A201" t="str">
        <x:v>CH-00200</x:v>
      </x:c>
      <x:c r="B201" t="str">
        <x:v>IMV-0053</x:v>
      </x:c>
      <x:c r="C201" s="36" t="n">
        <x:v>46053</x:v>
      </x:c>
      <x:c r="D201" t="str">
        <x:v>Estrutural</x:v>
      </x:c>
      <x:c r="E201" t="str">
        <x:v>Baixa</x:v>
      </x:c>
      <x:c r="F201" t="str">
        <x:v>Concluído</x:v>
      </x:c>
      <x:c r="G201" t="n">
        <x:v>4</x:v>
      </x:c>
      <x:c r="H201" s="32" t="n">
        <x:v>1330</x:v>
      </x:c>
      <x:c r="I201" t="str">
        <x:v>Proprietário</x:v>
      </x:c>
      <x:c r="J201" t="n">
        <x:v>5</x:v>
      </x:c>
    </x:row>
    <x:row r="202">
      <x:c r="A202" t="str">
        <x:v>CH-00201</x:v>
      </x:c>
      <x:c r="B202" t="str">
        <x:v>IMV-0053</x:v>
      </x:c>
      <x:c r="C202" s="36" t="n">
        <x:v>45964</x:v>
      </x:c>
      <x:c r="D202" t="str">
        <x:v>Pintura</x:v>
      </x:c>
      <x:c r="E202" t="str">
        <x:v>Alta</x:v>
      </x:c>
      <x:c r="F202" t="str">
        <x:v>Concluído</x:v>
      </x:c>
      <x:c r="G202" t="n">
        <x:v>19</x:v>
      </x:c>
      <x:c r="H202" s="32" t="n">
        <x:v>1210</x:v>
      </x:c>
      <x:c r="I202" t="str">
        <x:v>Inquilino</x:v>
      </x:c>
      <x:c r="J202" t="n">
        <x:v>1</x:v>
      </x:c>
    </x:row>
    <x:row r="203">
      <x:c r="A203" t="str">
        <x:v>CH-00202</x:v>
      </x:c>
      <x:c r="B203" t="str">
        <x:v>IMV-0053</x:v>
      </x:c>
      <x:c r="C203" s="36" t="n">
        <x:v>46147</x:v>
      </x:c>
      <x:c r="D203" t="str">
        <x:v>Chaves/Fechadura</x:v>
      </x:c>
      <x:c r="E203" t="str">
        <x:v>Baixa</x:v>
      </x:c>
      <x:c r="F203" t="str">
        <x:v>Aguardando proprietário</x:v>
      </x:c>
      <x:c r="G203" t="n">
        <x:v>90</x:v>
      </x:c>
      <x:c r="H203" s="32" t="n">
        <x:v>1260</x:v>
      </x:c>
      <x:c r="I203" t="str">
        <x:v>Proprietário</x:v>
      </x:c>
      <x:c r="J203"/>
    </x:row>
    <x:row r="204">
      <x:c r="A204" t="str">
        <x:v>CH-00203</x:v>
      </x:c>
      <x:c r="B204" t="str">
        <x:v>IMV-0053</x:v>
      </x:c>
      <x:c r="C204" s="36" t="n">
        <x:v>46197</x:v>
      </x:c>
      <x:c r="D204" t="str">
        <x:v>Pintura</x:v>
      </x:c>
      <x:c r="E204" t="str">
        <x:v>Crítica</x:v>
      </x:c>
      <x:c r="F204" t="str">
        <x:v>Em andamento</x:v>
      </x:c>
      <x:c r="G204" t="n">
        <x:v>40</x:v>
      </x:c>
      <x:c r="H204" s="32" t="n">
        <x:v>4480</x:v>
      </x:c>
      <x:c r="I204" t="str">
        <x:v>Imobiliária</x:v>
      </x:c>
      <x:c r="J204"/>
    </x:row>
    <x:row r="205">
      <x:c r="A205" t="str">
        <x:v>CH-00204</x:v>
      </x:c>
      <x:c r="B205" t="str">
        <x:v>IMV-0054</x:v>
      </x:c>
      <x:c r="C205" s="36" t="n">
        <x:v>46063</x:v>
      </x:c>
      <x:c r="D205" t="str">
        <x:v>Pintura</x:v>
      </x:c>
      <x:c r="E205" t="str">
        <x:v>Baixa</x:v>
      </x:c>
      <x:c r="F205" t="str">
        <x:v>Concluído</x:v>
      </x:c>
      <x:c r="G205" t="n">
        <x:v>12</x:v>
      </x:c>
      <x:c r="H205" s="32" t="n">
        <x:v>3070</x:v>
      </x:c>
      <x:c r="I205" t="str">
        <x:v>Proprietário</x:v>
      </x:c>
      <x:c r="J205" t="n">
        <x:v>5</x:v>
      </x:c>
    </x:row>
    <x:row r="206">
      <x:c r="A206" t="str">
        <x:v>CH-00205</x:v>
      </x:c>
      <x:c r="B206" t="str">
        <x:v>IMV-0054</x:v>
      </x:c>
      <x:c r="C206" s="36" t="n">
        <x:v>46124</x:v>
      </x:c>
      <x:c r="D206" t="str">
        <x:v>Chaves/Fechadura</x:v>
      </x:c>
      <x:c r="E206" t="str">
        <x:v>Alta</x:v>
      </x:c>
      <x:c r="F206" t="str">
        <x:v>Concluído</x:v>
      </x:c>
      <x:c r="G206" t="n">
        <x:v>17</x:v>
      </x:c>
      <x:c r="H206" s="32" t="n">
        <x:v>4330</x:v>
      </x:c>
      <x:c r="I206" t="str">
        <x:v>Imobiliária</x:v>
      </x:c>
      <x:c r="J206" t="n">
        <x:v>2</x:v>
      </x:c>
    </x:row>
    <x:row r="207">
      <x:c r="A207" t="str">
        <x:v>CH-00206</x:v>
      </x:c>
      <x:c r="B207" t="str">
        <x:v>IMV-0054</x:v>
      </x:c>
      <x:c r="C207" s="36" t="n">
        <x:v>46047</x:v>
      </x:c>
      <x:c r="D207" t="str">
        <x:v>Eletrodoméstico</x:v>
      </x:c>
      <x:c r="E207" t="str">
        <x:v>Baixa</x:v>
      </x:c>
      <x:c r="F207" t="str">
        <x:v>Concluído</x:v>
      </x:c>
      <x:c r="G207" t="n">
        <x:v>13</x:v>
      </x:c>
      <x:c r="H207" s="32" t="n">
        <x:v>900</x:v>
      </x:c>
      <x:c r="I207" t="str">
        <x:v>Proprietário</x:v>
      </x:c>
      <x:c r="J207" t="n">
        <x:v>1</x:v>
      </x:c>
    </x:row>
    <x:row r="208">
      <x:c r="A208" t="str">
        <x:v>CH-00207</x:v>
      </x:c>
      <x:c r="B208" t="str">
        <x:v>IMV-0054</x:v>
      </x:c>
      <x:c r="C208" s="36" t="n">
        <x:v>46042</x:v>
      </x:c>
      <x:c r="D208" t="str">
        <x:v>Eletrodoméstico</x:v>
      </x:c>
      <x:c r="E208" t="str">
        <x:v>Alta</x:v>
      </x:c>
      <x:c r="F208" t="str">
        <x:v>Aguardando prestador</x:v>
      </x:c>
      <x:c r="G208" t="n">
        <x:v>195</x:v>
      </x:c>
      <x:c r="H208" s="32" t="n">
        <x:v>2520</x:v>
      </x:c>
      <x:c r="I208" t="str">
        <x:v>Imobiliária</x:v>
      </x:c>
      <x:c r="J208"/>
    </x:row>
    <x:row r="209">
      <x:c r="A209" t="str">
        <x:v>CH-00208</x:v>
      </x:c>
      <x:c r="B209" t="str">
        <x:v>IMV-0055</x:v>
      </x:c>
      <x:c r="C209" s="36" t="n">
        <x:v>46102</x:v>
      </x:c>
      <x:c r="D209" t="str">
        <x:v>Hidráulica</x:v>
      </x:c>
      <x:c r="E209" t="str">
        <x:v>Baixa</x:v>
      </x:c>
      <x:c r="F209" t="str">
        <x:v>Concluído</x:v>
      </x:c>
      <x:c r="G209" t="n">
        <x:v>19</x:v>
      </x:c>
      <x:c r="H209" s="32" t="n">
        <x:v>3080</x:v>
      </x:c>
      <x:c r="I209" t="str">
        <x:v>Inquilino</x:v>
      </x:c>
      <x:c r="J209" t="n">
        <x:v>1</x:v>
      </x:c>
    </x:row>
    <x:row r="210">
      <x:c r="A210" t="str">
        <x:v>CH-00209</x:v>
      </x:c>
      <x:c r="B210" t="str">
        <x:v>IMV-0055</x:v>
      </x:c>
      <x:c r="C210" s="36" t="n">
        <x:v>45873</x:v>
      </x:c>
      <x:c r="D210" t="str">
        <x:v>Elétrica</x:v>
      </x:c>
      <x:c r="E210" t="str">
        <x:v>Baixa</x:v>
      </x:c>
      <x:c r="F210" t="str">
        <x:v>Concluído</x:v>
      </x:c>
      <x:c r="G210" t="n">
        <x:v>24</x:v>
      </x:c>
      <x:c r="H210" s="32" t="n">
        <x:v>540</x:v>
      </x:c>
      <x:c r="I210" t="str">
        <x:v>Imobiliária</x:v>
      </x:c>
      <x:c r="J210" t="n">
        <x:v>4</x:v>
      </x:c>
    </x:row>
    <x:row r="211">
      <x:c r="A211" t="str">
        <x:v>CH-00210</x:v>
      </x:c>
      <x:c r="B211" t="str">
        <x:v>IMV-0055</x:v>
      </x:c>
      <x:c r="C211" s="36" t="n">
        <x:v>46015</x:v>
      </x:c>
      <x:c r="D211" t="str">
        <x:v>Elétrica</x:v>
      </x:c>
      <x:c r="E211" t="str">
        <x:v>Crítica</x:v>
      </x:c>
      <x:c r="F211" t="str">
        <x:v>Concluído</x:v>
      </x:c>
      <x:c r="G211" t="n">
        <x:v>7</x:v>
      </x:c>
      <x:c r="H211" s="32" t="n">
        <x:v>2610</x:v>
      </x:c>
      <x:c r="I211" t="str">
        <x:v>Imobiliária</x:v>
      </x:c>
      <x:c r="J211" t="n">
        <x:v>3</x:v>
      </x:c>
    </x:row>
    <x:row r="212">
      <x:c r="A212" t="str">
        <x:v>CH-00211</x:v>
      </x:c>
      <x:c r="B212" t="str">
        <x:v>IMV-0055</x:v>
      </x:c>
      <x:c r="C212" s="36" t="n">
        <x:v>46135</x:v>
      </x:c>
      <x:c r="D212" t="str">
        <x:v>Estrutural</x:v>
      </x:c>
      <x:c r="E212" t="str">
        <x:v>Alta</x:v>
      </x:c>
      <x:c r="F212" t="str">
        <x:v>Aguardando prestador</x:v>
      </x:c>
      <x:c r="G212" t="n">
        <x:v>102</x:v>
      </x:c>
      <x:c r="H212" s="32" t="n">
        <x:v>4010</x:v>
      </x:c>
      <x:c r="I212" t="str">
        <x:v>Imobiliária</x:v>
      </x:c>
      <x:c r="J212"/>
    </x:row>
    <x:row r="213">
      <x:c r="A213" t="str">
        <x:v>CH-00212</x:v>
      </x:c>
      <x:c r="B213" t="str">
        <x:v>IMV-0055</x:v>
      </x:c>
      <x:c r="C213" s="36" t="n">
        <x:v>46069</x:v>
      </x:c>
      <x:c r="D213" t="str">
        <x:v>Estrutural</x:v>
      </x:c>
      <x:c r="E213" t="str">
        <x:v>Baixa</x:v>
      </x:c>
      <x:c r="F213" t="str">
        <x:v>Concluído</x:v>
      </x:c>
      <x:c r="G213" t="n">
        <x:v>22</x:v>
      </x:c>
      <x:c r="H213" s="32" t="n">
        <x:v>2210</x:v>
      </x:c>
      <x:c r="I213" t="str">
        <x:v>Imobiliária</x:v>
      </x:c>
      <x:c r="J213" t="n">
        <x:v>3</x:v>
      </x:c>
    </x:row>
    <x:row r="214">
      <x:c r="A214" t="str">
        <x:v>CH-00213</x:v>
      </x:c>
      <x:c r="B214" t="str">
        <x:v>IMV-0055</x:v>
      </x:c>
      <x:c r="C214" s="36" t="n">
        <x:v>46080</x:v>
      </x:c>
      <x:c r="D214" t="str">
        <x:v>Elétrica</x:v>
      </x:c>
      <x:c r="E214" t="str">
        <x:v>Crítica</x:v>
      </x:c>
      <x:c r="F214" t="str">
        <x:v>Em andamento</x:v>
      </x:c>
      <x:c r="G214" t="n">
        <x:v>157</x:v>
      </x:c>
      <x:c r="H214" s="32" t="n">
        <x:v>130</x:v>
      </x:c>
      <x:c r="I214" t="str">
        <x:v>Imobiliária</x:v>
      </x:c>
      <x:c r="J214"/>
    </x:row>
    <x:row r="215">
      <x:c r="A215" t="str">
        <x:v>CH-00214</x:v>
      </x:c>
      <x:c r="B215" t="str">
        <x:v>IMV-0055</x:v>
      </x:c>
      <x:c r="C215" s="36" t="n">
        <x:v>45963</x:v>
      </x:c>
      <x:c r="D215" t="str">
        <x:v>Eletrodoméstico</x:v>
      </x:c>
      <x:c r="E215" t="str">
        <x:v>Crítica</x:v>
      </x:c>
      <x:c r="F215" t="str">
        <x:v>Em andamento</x:v>
      </x:c>
      <x:c r="G215" t="n">
        <x:v>274</x:v>
      </x:c>
      <x:c r="H215" s="32" t="n">
        <x:v>2570</x:v>
      </x:c>
      <x:c r="I215" t="str">
        <x:v>Imobiliária</x:v>
      </x:c>
      <x:c r="J215"/>
    </x:row>
    <x:row r="216">
      <x:c r="A216" t="str">
        <x:v>CH-00215</x:v>
      </x:c>
      <x:c r="B216" t="str">
        <x:v>IMV-0056</x:v>
      </x:c>
      <x:c r="C216" s="36" t="n">
        <x:v>46012</x:v>
      </x:c>
      <x:c r="D216" t="str">
        <x:v>Elétrica</x:v>
      </x:c>
      <x:c r="E216" t="str">
        <x:v>Baixa</x:v>
      </x:c>
      <x:c r="F216" t="str">
        <x:v>Aguardando proprietário</x:v>
      </x:c>
      <x:c r="G216" t="n">
        <x:v>225</x:v>
      </x:c>
      <x:c r="H216" s="32" t="n">
        <x:v>3640</x:v>
      </x:c>
      <x:c r="I216" t="str">
        <x:v>Imobiliária</x:v>
      </x:c>
      <x:c r="J216"/>
    </x:row>
    <x:row r="217">
      <x:c r="A217" t="str">
        <x:v>CH-00216</x:v>
      </x:c>
      <x:c r="B217" t="str">
        <x:v>IMV-0056</x:v>
      </x:c>
      <x:c r="C217" s="36" t="n">
        <x:v>46006</x:v>
      </x:c>
      <x:c r="D217" t="str">
        <x:v>Hidráulica</x:v>
      </x:c>
      <x:c r="E217" t="str">
        <x:v>Alta</x:v>
      </x:c>
      <x:c r="F217" t="str">
        <x:v>Concluído</x:v>
      </x:c>
      <x:c r="G217" t="n">
        <x:v>19</x:v>
      </x:c>
      <x:c r="H217" s="32" t="n">
        <x:v>250</x:v>
      </x:c>
      <x:c r="I217" t="str">
        <x:v>Proprietário</x:v>
      </x:c>
      <x:c r="J217" t="n">
        <x:v>3</x:v>
      </x:c>
    </x:row>
    <x:row r="218">
      <x:c r="A218" t="str">
        <x:v>CH-00217</x:v>
      </x:c>
      <x:c r="B218" t="str">
        <x:v>IMV-0056</x:v>
      </x:c>
      <x:c r="C218" s="36" t="n">
        <x:v>45881</x:v>
      </x:c>
      <x:c r="D218" t="str">
        <x:v>Elétrica</x:v>
      </x:c>
      <x:c r="E218" t="str">
        <x:v>Média</x:v>
      </x:c>
      <x:c r="F218" t="str">
        <x:v>Concluído</x:v>
      </x:c>
      <x:c r="G218" t="n">
        <x:v>15</x:v>
      </x:c>
      <x:c r="H218" s="32" t="n">
        <x:v>1610</x:v>
      </x:c>
      <x:c r="I218" t="str">
        <x:v>Imobiliária</x:v>
      </x:c>
      <x:c r="J218" t="n">
        <x:v>5</x:v>
      </x:c>
    </x:row>
    <x:row r="219">
      <x:c r="A219" t="str">
        <x:v>CH-00218</x:v>
      </x:c>
      <x:c r="B219" t="str">
        <x:v>IMV-0056</x:v>
      </x:c>
      <x:c r="C219" s="36" t="n">
        <x:v>46127</x:v>
      </x:c>
      <x:c r="D219" t="str">
        <x:v>Hidráulica</x:v>
      </x:c>
      <x:c r="E219" t="str">
        <x:v>Crítica</x:v>
      </x:c>
      <x:c r="F219" t="str">
        <x:v>Concluído</x:v>
      </x:c>
      <x:c r="G219" t="n">
        <x:v>10</x:v>
      </x:c>
      <x:c r="H219" s="32" t="n">
        <x:v>3070</x:v>
      </x:c>
      <x:c r="I219" t="str">
        <x:v>Inquilino</x:v>
      </x:c>
      <x:c r="J219" t="n">
        <x:v>1</x:v>
      </x:c>
    </x:row>
    <x:row r="220">
      <x:c r="A220" t="str">
        <x:v>CH-00219</x:v>
      </x:c>
      <x:c r="B220" t="str">
        <x:v>IMV-0056</x:v>
      </x:c>
      <x:c r="C220" s="36" t="n">
        <x:v>46074</x:v>
      </x:c>
      <x:c r="D220" t="str">
        <x:v>Pintura</x:v>
      </x:c>
      <x:c r="E220" t="str">
        <x:v>Crítica</x:v>
      </x:c>
      <x:c r="F220" t="str">
        <x:v>Concluído</x:v>
      </x:c>
      <x:c r="G220" t="n">
        <x:v>14</x:v>
      </x:c>
      <x:c r="H220" s="32" t="n">
        <x:v>180</x:v>
      </x:c>
      <x:c r="I220" t="str">
        <x:v>Inquilino</x:v>
      </x:c>
      <x:c r="J220" t="n">
        <x:v>2</x:v>
      </x:c>
    </x:row>
    <x:row r="221">
      <x:c r="A221" t="str">
        <x:v>CH-00220</x:v>
      </x:c>
      <x:c r="B221" t="str">
        <x:v>IMV-0056</x:v>
      </x:c>
      <x:c r="C221" s="36" t="n">
        <x:v>46014</x:v>
      </x:c>
      <x:c r="D221" t="str">
        <x:v>Elétrica</x:v>
      </x:c>
      <x:c r="E221" t="str">
        <x:v>Média</x:v>
      </x:c>
      <x:c r="F221" t="str">
        <x:v>Aguardando proprietário</x:v>
      </x:c>
      <x:c r="G221" t="n">
        <x:v>223</x:v>
      </x:c>
      <x:c r="H221" s="32" t="n">
        <x:v>1430</x:v>
      </x:c>
      <x:c r="I221" t="str">
        <x:v>Inquilino</x:v>
      </x:c>
      <x:c r="J221"/>
    </x:row>
    <x:row r="222">
      <x:c r="A222" t="str">
        <x:v>CH-00221</x:v>
      </x:c>
      <x:c r="B222" t="str">
        <x:v>IMV-0057</x:v>
      </x:c>
      <x:c r="C222" s="36" t="n">
        <x:v>45965</x:v>
      </x:c>
      <x:c r="D222" t="str">
        <x:v>Chaves/Fechadura</x:v>
      </x:c>
      <x:c r="E222" t="str">
        <x:v>Baixa</x:v>
      </x:c>
      <x:c r="F222" t="str">
        <x:v>Concluído</x:v>
      </x:c>
      <x:c r="G222" t="n">
        <x:v>23</x:v>
      </x:c>
      <x:c r="H222" s="32" t="n">
        <x:v>4180</x:v>
      </x:c>
      <x:c r="I222" t="str">
        <x:v>Imobiliária</x:v>
      </x:c>
      <x:c r="J222" t="n">
        <x:v>1</x:v>
      </x:c>
    </x:row>
    <x:row r="223">
      <x:c r="A223" t="str">
        <x:v>CH-00222</x:v>
      </x:c>
      <x:c r="B223" t="str">
        <x:v>IMV-0057</x:v>
      </x:c>
      <x:c r="C223" s="36" t="n">
        <x:v>46051</x:v>
      </x:c>
      <x:c r="D223" t="str">
        <x:v>Eletrodoméstico</x:v>
      </x:c>
      <x:c r="E223" t="str">
        <x:v>Baixa</x:v>
      </x:c>
      <x:c r="F223" t="str">
        <x:v>Aguardando prestador</x:v>
      </x:c>
      <x:c r="G223" t="n">
        <x:v>186</x:v>
      </x:c>
      <x:c r="H223" s="32" t="n">
        <x:v>3690</x:v>
      </x:c>
      <x:c r="I223" t="str">
        <x:v>Inquilino</x:v>
      </x:c>
      <x:c r="J223"/>
    </x:row>
    <x:row r="224">
      <x:c r="A224" t="str">
        <x:v>CH-00223</x:v>
      </x:c>
      <x:c r="B224" t="str">
        <x:v>IMV-0058</x:v>
      </x:c>
      <x:c r="C224" s="36" t="n">
        <x:v>46013</x:v>
      </x:c>
      <x:c r="D224" t="str">
        <x:v>Eletrodoméstico</x:v>
      </x:c>
      <x:c r="E224" t="str">
        <x:v>Baixa</x:v>
      </x:c>
      <x:c r="F224" t="str">
        <x:v>Concluído</x:v>
      </x:c>
      <x:c r="G224" t="n">
        <x:v>24</x:v>
      </x:c>
      <x:c r="H224" s="32" t="n">
        <x:v>500</x:v>
      </x:c>
      <x:c r="I224" t="str">
        <x:v>Inquilino</x:v>
      </x:c>
      <x:c r="J224" t="n">
        <x:v>1</x:v>
      </x:c>
    </x:row>
    <x:row r="225">
      <x:c r="A225" t="str">
        <x:v>CH-00224</x:v>
      </x:c>
      <x:c r="B225" t="str">
        <x:v>IMV-0058</x:v>
      </x:c>
      <x:c r="C225" s="36" t="n">
        <x:v>46040</x:v>
      </x:c>
      <x:c r="D225" t="str">
        <x:v>Estrutural</x:v>
      </x:c>
      <x:c r="E225" t="str">
        <x:v>Crítica</x:v>
      </x:c>
      <x:c r="F225" t="str">
        <x:v>Em andamento</x:v>
      </x:c>
      <x:c r="G225" t="n">
        <x:v>197</x:v>
      </x:c>
      <x:c r="H225" s="32" t="n">
        <x:v>3380</x:v>
      </x:c>
      <x:c r="I225" t="str">
        <x:v>Inquilino</x:v>
      </x:c>
      <x:c r="J225"/>
    </x:row>
    <x:row r="226">
      <x:c r="A226" t="str">
        <x:v>CH-00225</x:v>
      </x:c>
      <x:c r="B226" t="str">
        <x:v>IMV-0058</x:v>
      </x:c>
      <x:c r="C226" s="36" t="n">
        <x:v>46037</x:v>
      </x:c>
      <x:c r="D226" t="str">
        <x:v>Hidráulica</x:v>
      </x:c>
      <x:c r="E226" t="str">
        <x:v>Média</x:v>
      </x:c>
      <x:c r="F226" t="str">
        <x:v>Em andamento</x:v>
      </x:c>
      <x:c r="G226" t="n">
        <x:v>200</x:v>
      </x:c>
      <x:c r="H226" s="32" t="n">
        <x:v>4370</x:v>
      </x:c>
      <x:c r="I226" t="str">
        <x:v>Inquilino</x:v>
      </x:c>
      <x:c r="J226"/>
    </x:row>
    <x:row r="227">
      <x:c r="A227" t="str">
        <x:v>CH-00226</x:v>
      </x:c>
      <x:c r="B227" t="str">
        <x:v>IMV-0058</x:v>
      </x:c>
      <x:c r="C227" s="36" t="n">
        <x:v>45976</x:v>
      </x:c>
      <x:c r="D227" t="str">
        <x:v>Estrutural</x:v>
      </x:c>
      <x:c r="E227" t="str">
        <x:v>Média</x:v>
      </x:c>
      <x:c r="F227" t="str">
        <x:v>Em andamento</x:v>
      </x:c>
      <x:c r="G227" t="n">
        <x:v>261</x:v>
      </x:c>
      <x:c r="H227" s="32" t="n">
        <x:v>910</x:v>
      </x:c>
      <x:c r="I227" t="str">
        <x:v>Inquilino</x:v>
      </x:c>
      <x:c r="J227"/>
    </x:row>
    <x:row r="228">
      <x:c r="A228" t="str">
        <x:v>CH-00227</x:v>
      </x:c>
      <x:c r="B228" t="str">
        <x:v>IMV-0058</x:v>
      </x:c>
      <x:c r="C228" s="36" t="n">
        <x:v>45880</x:v>
      </x:c>
      <x:c r="D228" t="str">
        <x:v>Hidráulica</x:v>
      </x:c>
      <x:c r="E228" t="str">
        <x:v>Baixa</x:v>
      </x:c>
      <x:c r="F228" t="str">
        <x:v>Concluído</x:v>
      </x:c>
      <x:c r="G228" t="n">
        <x:v>1</x:v>
      </x:c>
      <x:c r="H228" s="32" t="n">
        <x:v>3280</x:v>
      </x:c>
      <x:c r="I228" t="str">
        <x:v>Imobiliária</x:v>
      </x:c>
      <x:c r="J228" t="n">
        <x:v>4</x:v>
      </x:c>
    </x:row>
    <x:row r="229">
      <x:c r="A229" t="str">
        <x:v>CH-00228</x:v>
      </x:c>
      <x:c r="B229" t="str">
        <x:v>IMV-0060</x:v>
      </x:c>
      <x:c r="C229" s="36" t="n">
        <x:v>46044</x:v>
      </x:c>
      <x:c r="D229" t="str">
        <x:v>Pintura</x:v>
      </x:c>
      <x:c r="E229" t="str">
        <x:v>Média</x:v>
      </x:c>
      <x:c r="F229" t="str">
        <x:v>Concluído</x:v>
      </x:c>
      <x:c r="G229" t="n">
        <x:v>16</x:v>
      </x:c>
      <x:c r="H229" s="32" t="n">
        <x:v>2120</x:v>
      </x:c>
      <x:c r="I229" t="str">
        <x:v>Imobiliária</x:v>
      </x:c>
      <x:c r="J229" t="n">
        <x:v>4</x:v>
      </x:c>
    </x:row>
    <x:row r="230">
      <x:c r="A230" t="str">
        <x:v>CH-00229</x:v>
      </x:c>
      <x:c r="B230" t="str">
        <x:v>IMV-0060</x:v>
      </x:c>
      <x:c r="C230" s="36" t="n">
        <x:v>46127</x:v>
      </x:c>
      <x:c r="D230" t="str">
        <x:v>Eletrodoméstico</x:v>
      </x:c>
      <x:c r="E230" t="str">
        <x:v>Média</x:v>
      </x:c>
      <x:c r="F230" t="str">
        <x:v>Em andamento</x:v>
      </x:c>
      <x:c r="G230" t="n">
        <x:v>110</x:v>
      </x:c>
      <x:c r="H230" s="32" t="n">
        <x:v>3020</x:v>
      </x:c>
      <x:c r="I230" t="str">
        <x:v>Imobiliária</x:v>
      </x:c>
      <x:c r="J230"/>
    </x:row>
    <x:row r="231">
      <x:c r="A231" t="str">
        <x:v>CH-00230</x:v>
      </x:c>
      <x:c r="B231" t="str">
        <x:v>IMV-0060</x:v>
      </x:c>
      <x:c r="C231" s="36" t="n">
        <x:v>46053</x:v>
      </x:c>
      <x:c r="D231" t="str">
        <x:v>Elétrica</x:v>
      </x:c>
      <x:c r="E231" t="str">
        <x:v>Crítica</x:v>
      </x:c>
      <x:c r="F231" t="str">
        <x:v>Concluído</x:v>
      </x:c>
      <x:c r="G231" t="n">
        <x:v>16</x:v>
      </x:c>
      <x:c r="H231" s="32" t="n">
        <x:v>2380</x:v>
      </x:c>
      <x:c r="I231" t="str">
        <x:v>Imobiliária</x:v>
      </x:c>
      <x:c r="J231" t="n">
        <x:v>3</x:v>
      </x:c>
    </x:row>
    <x:row r="232">
      <x:c r="A232" t="str">
        <x:v>CH-00231</x:v>
      </x:c>
      <x:c r="B232" t="str">
        <x:v>IMV-0060</x:v>
      </x:c>
      <x:c r="C232" s="36" t="n">
        <x:v>46190</x:v>
      </x:c>
      <x:c r="D232" t="str">
        <x:v>Chaves/Fechadura</x:v>
      </x:c>
      <x:c r="E232" t="str">
        <x:v>Alta</x:v>
      </x:c>
      <x:c r="F232" t="str">
        <x:v>Em andamento</x:v>
      </x:c>
      <x:c r="G232" t="n">
        <x:v>47</x:v>
      </x:c>
      <x:c r="H232" s="32" t="n">
        <x:v>3150</x:v>
      </x:c>
      <x:c r="I232" t="str">
        <x:v>Proprietário</x:v>
      </x:c>
      <x:c r="J232"/>
    </x:row>
    <x:row r="233">
      <x:c r="A233" t="str">
        <x:v>CH-00232</x:v>
      </x:c>
      <x:c r="B233" t="str">
        <x:v>IMV-0060</x:v>
      </x:c>
      <x:c r="C233" s="36" t="n">
        <x:v>45885</x:v>
      </x:c>
      <x:c r="D233" t="str">
        <x:v>Eletrodoméstico</x:v>
      </x:c>
      <x:c r="E233" t="str">
        <x:v>Crítica</x:v>
      </x:c>
      <x:c r="F233" t="str">
        <x:v>Aguardando prestador</x:v>
      </x:c>
      <x:c r="G233" t="n">
        <x:v>352</x:v>
      </x:c>
      <x:c r="H233" s="32" t="n">
        <x:v>430</x:v>
      </x:c>
      <x:c r="I233" t="str">
        <x:v>Proprietário</x:v>
      </x:c>
      <x:c r="J233"/>
    </x:row>
    <x:row r="234">
      <x:c r="A234" t="str">
        <x:v>CH-00233</x:v>
      </x:c>
      <x:c r="B234" t="str">
        <x:v>IMV-0060</x:v>
      </x:c>
      <x:c r="C234" s="36" t="n">
        <x:v>46117</x:v>
      </x:c>
      <x:c r="D234" t="str">
        <x:v>Elétrica</x:v>
      </x:c>
      <x:c r="E234" t="str">
        <x:v>Crítica</x:v>
      </x:c>
      <x:c r="F234" t="str">
        <x:v>Concluído</x:v>
      </x:c>
      <x:c r="G234" t="n">
        <x:v>12</x:v>
      </x:c>
      <x:c r="H234" s="32" t="n">
        <x:v>4010</x:v>
      </x:c>
      <x:c r="I234" t="str">
        <x:v>Proprietário</x:v>
      </x:c>
      <x:c r="J234" t="n">
        <x:v>5</x:v>
      </x:c>
    </x:row>
    <x:row r="235">
      <x:c r="A235" t="str">
        <x:v>CH-00234</x:v>
      </x:c>
      <x:c r="B235" t="str">
        <x:v>IMV-0061</x:v>
      </x:c>
      <x:c r="C235" s="36" t="n">
        <x:v>46118</x:v>
      </x:c>
      <x:c r="D235" t="str">
        <x:v>Pintura</x:v>
      </x:c>
      <x:c r="E235" t="str">
        <x:v>Média</x:v>
      </x:c>
      <x:c r="F235" t="str">
        <x:v>Em andamento</x:v>
      </x:c>
      <x:c r="G235" t="n">
        <x:v>119</x:v>
      </x:c>
      <x:c r="H235" s="32" t="n">
        <x:v>1270</x:v>
      </x:c>
      <x:c r="I235" t="str">
        <x:v>Inquilino</x:v>
      </x:c>
      <x:c r="J235"/>
    </x:row>
    <x:row r="236">
      <x:c r="A236" t="str">
        <x:v>CH-00235</x:v>
      </x:c>
      <x:c r="B236" t="str">
        <x:v>IMV-0061</x:v>
      </x:c>
      <x:c r="C236" s="36" t="n">
        <x:v>46024</x:v>
      </x:c>
      <x:c r="D236" t="str">
        <x:v>Estrutural</x:v>
      </x:c>
      <x:c r="E236" t="str">
        <x:v>Crítica</x:v>
      </x:c>
      <x:c r="F236" t="str">
        <x:v>Aguardando prestador</x:v>
      </x:c>
      <x:c r="G236" t="n">
        <x:v>213</x:v>
      </x:c>
      <x:c r="H236" s="32" t="n">
        <x:v>3990</x:v>
      </x:c>
      <x:c r="I236" t="str">
        <x:v>Inquilino</x:v>
      </x:c>
      <x:c r="J236"/>
    </x:row>
    <x:row r="237">
      <x:c r="A237" t="str">
        <x:v>CH-00236</x:v>
      </x:c>
      <x:c r="B237" t="str">
        <x:v>IMV-0061</x:v>
      </x:c>
      <x:c r="C237" s="36" t="n">
        <x:v>45904</x:v>
      </x:c>
      <x:c r="D237" t="str">
        <x:v>Eletrodoméstico</x:v>
      </x:c>
      <x:c r="E237" t="str">
        <x:v>Baixa</x:v>
      </x:c>
      <x:c r="F237" t="str">
        <x:v>Concluído</x:v>
      </x:c>
      <x:c r="G237" t="n">
        <x:v>16</x:v>
      </x:c>
      <x:c r="H237" s="32" t="n">
        <x:v>1770</x:v>
      </x:c>
      <x:c r="I237" t="str">
        <x:v>Proprietário</x:v>
      </x:c>
      <x:c r="J237" t="n">
        <x:v>5</x:v>
      </x:c>
    </x:row>
    <x:row r="238">
      <x:c r="A238" t="str">
        <x:v>CH-00237</x:v>
      </x:c>
      <x:c r="B238" t="str">
        <x:v>IMV-0061</x:v>
      </x:c>
      <x:c r="C238" s="36" t="n">
        <x:v>46128</x:v>
      </x:c>
      <x:c r="D238" t="str">
        <x:v>Pintura</x:v>
      </x:c>
      <x:c r="E238" t="str">
        <x:v>Alta</x:v>
      </x:c>
      <x:c r="F238" t="str">
        <x:v>Aguardando prestador</x:v>
      </x:c>
      <x:c r="G238" t="n">
        <x:v>109</x:v>
      </x:c>
      <x:c r="H238" s="32" t="n">
        <x:v>3140</x:v>
      </x:c>
      <x:c r="I238" t="str">
        <x:v>Imobiliária</x:v>
      </x:c>
      <x:c r="J238"/>
    </x:row>
    <x:row r="239">
      <x:c r="A239" t="str">
        <x:v>CH-00238</x:v>
      </x:c>
      <x:c r="B239" t="str">
        <x:v>IMV-0061</x:v>
      </x:c>
      <x:c r="C239" s="36" t="n">
        <x:v>46079</x:v>
      </x:c>
      <x:c r="D239" t="str">
        <x:v>Pintura</x:v>
      </x:c>
      <x:c r="E239" t="str">
        <x:v>Crítica</x:v>
      </x:c>
      <x:c r="F239" t="str">
        <x:v>Em andamento</x:v>
      </x:c>
      <x:c r="G239" t="n">
        <x:v>158</x:v>
      </x:c>
      <x:c r="H239" s="32" t="n">
        <x:v>1520</x:v>
      </x:c>
      <x:c r="I239" t="str">
        <x:v>Inquilino</x:v>
      </x:c>
      <x:c r="J239"/>
    </x:row>
    <x:row r="240">
      <x:c r="A240" t="str">
        <x:v>CH-00239</x:v>
      </x:c>
      <x:c r="B240" t="str">
        <x:v>IMV-0062</x:v>
      </x:c>
      <x:c r="C240" s="36" t="n">
        <x:v>46154</x:v>
      </x:c>
      <x:c r="D240" t="str">
        <x:v>Hidráulica</x:v>
      </x:c>
      <x:c r="E240" t="str">
        <x:v>Baixa</x:v>
      </x:c>
      <x:c r="F240" t="str">
        <x:v>Concluído</x:v>
      </x:c>
      <x:c r="G240" t="n">
        <x:v>15</x:v>
      </x:c>
      <x:c r="H240" s="32" t="n">
        <x:v>4270</x:v>
      </x:c>
      <x:c r="I240" t="str">
        <x:v>Imobiliária</x:v>
      </x:c>
      <x:c r="J240" t="n">
        <x:v>4</x:v>
      </x:c>
    </x:row>
    <x:row r="241">
      <x:c r="A241" t="str">
        <x:v>CH-00240</x:v>
      </x:c>
      <x:c r="B241" t="str">
        <x:v>IMV-0062</x:v>
      </x:c>
      <x:c r="C241" s="36" t="n">
        <x:v>46016</x:v>
      </x:c>
      <x:c r="D241" t="str">
        <x:v>Chaves/Fechadura</x:v>
      </x:c>
      <x:c r="E241" t="str">
        <x:v>Crítica</x:v>
      </x:c>
      <x:c r="F241" t="str">
        <x:v>Concluído</x:v>
      </x:c>
      <x:c r="G241" t="n">
        <x:v>9</x:v>
      </x:c>
      <x:c r="H241" s="32" t="n">
        <x:v>190</x:v>
      </x:c>
      <x:c r="I241" t="str">
        <x:v>Imobiliária</x:v>
      </x:c>
      <x:c r="J241" t="n">
        <x:v>3</x:v>
      </x:c>
    </x:row>
    <x:row r="242">
      <x:c r="A242" t="str">
        <x:v>CH-00241</x:v>
      </x:c>
      <x:c r="B242" t="str">
        <x:v>IMV-0062</x:v>
      </x:c>
      <x:c r="C242" s="36" t="n">
        <x:v>45951</x:v>
      </x:c>
      <x:c r="D242" t="str">
        <x:v>Elétrica</x:v>
      </x:c>
      <x:c r="E242" t="str">
        <x:v>Média</x:v>
      </x:c>
      <x:c r="F242" t="str">
        <x:v>Concluído</x:v>
      </x:c>
      <x:c r="G242" t="n">
        <x:v>25</x:v>
      </x:c>
      <x:c r="H242" s="32" t="n">
        <x:v>3130</x:v>
      </x:c>
      <x:c r="I242" t="str">
        <x:v>Inquilino</x:v>
      </x:c>
      <x:c r="J242" t="n">
        <x:v>1</x:v>
      </x:c>
    </x:row>
    <x:row r="243">
      <x:c r="A243" t="str">
        <x:v>CH-00242</x:v>
      </x:c>
      <x:c r="B243" t="str">
        <x:v>IMV-0062</x:v>
      </x:c>
      <x:c r="C243" s="36" t="n">
        <x:v>46015</x:v>
      </x:c>
      <x:c r="D243" t="str">
        <x:v>Chaves/Fechadura</x:v>
      </x:c>
      <x:c r="E243" t="str">
        <x:v>Alta</x:v>
      </x:c>
      <x:c r="F243" t="str">
        <x:v>Concluído</x:v>
      </x:c>
      <x:c r="G243" t="n">
        <x:v>13</x:v>
      </x:c>
      <x:c r="H243" s="32" t="n">
        <x:v>2060</x:v>
      </x:c>
      <x:c r="I243" t="str">
        <x:v>Proprietário</x:v>
      </x:c>
      <x:c r="J243" t="n">
        <x:v>2</x:v>
      </x:c>
    </x:row>
    <x:row r="244">
      <x:c r="A244" t="str">
        <x:v>CH-00243</x:v>
      </x:c>
      <x:c r="B244" t="str">
        <x:v>IMV-0064</x:v>
      </x:c>
      <x:c r="C244" s="36" t="n">
        <x:v>46078</x:v>
      </x:c>
      <x:c r="D244" t="str">
        <x:v>Chaves/Fechadura</x:v>
      </x:c>
      <x:c r="E244" t="str">
        <x:v>Baixa</x:v>
      </x:c>
      <x:c r="F244" t="str">
        <x:v>Concluído</x:v>
      </x:c>
      <x:c r="G244" t="n">
        <x:v>2</x:v>
      </x:c>
      <x:c r="H244" s="32" t="n">
        <x:v>2630</x:v>
      </x:c>
      <x:c r="I244" t="str">
        <x:v>Imobiliária</x:v>
      </x:c>
      <x:c r="J244" t="n">
        <x:v>4</x:v>
      </x:c>
    </x:row>
    <x:row r="245">
      <x:c r="A245" t="str">
        <x:v>CH-00244</x:v>
      </x:c>
      <x:c r="B245" t="str">
        <x:v>IMV-0064</x:v>
      </x:c>
      <x:c r="C245" s="36" t="n">
        <x:v>46079</x:v>
      </x:c>
      <x:c r="D245" t="str">
        <x:v>Estrutural</x:v>
      </x:c>
      <x:c r="E245" t="str">
        <x:v>Média</x:v>
      </x:c>
      <x:c r="F245" t="str">
        <x:v>Em andamento</x:v>
      </x:c>
      <x:c r="G245" t="n">
        <x:v>158</x:v>
      </x:c>
      <x:c r="H245" s="32" t="n">
        <x:v>900</x:v>
      </x:c>
      <x:c r="I245" t="str">
        <x:v>Inquilino</x:v>
      </x:c>
      <x:c r="J245"/>
    </x:row>
    <x:row r="246">
      <x:c r="A246" t="str">
        <x:v>CH-00245</x:v>
      </x:c>
      <x:c r="B246" t="str">
        <x:v>IMV-0064</x:v>
      </x:c>
      <x:c r="C246" s="36" t="n">
        <x:v>45940</x:v>
      </x:c>
      <x:c r="D246" t="str">
        <x:v>Pintura</x:v>
      </x:c>
      <x:c r="E246" t="str">
        <x:v>Alta</x:v>
      </x:c>
      <x:c r="F246" t="str">
        <x:v>Em andamento</x:v>
      </x:c>
      <x:c r="G246" t="n">
        <x:v>297</x:v>
      </x:c>
      <x:c r="H246" s="32" t="n">
        <x:v>1020</x:v>
      </x:c>
      <x:c r="I246" t="str">
        <x:v>Proprietário</x:v>
      </x:c>
      <x:c r="J246"/>
    </x:row>
    <x:row r="247">
      <x:c r="A247" t="str">
        <x:v>CH-00246</x:v>
      </x:c>
      <x:c r="B247" t="str">
        <x:v>IMV-0064</x:v>
      </x:c>
      <x:c r="C247" s="36" t="n">
        <x:v>45915</x:v>
      </x:c>
      <x:c r="D247" t="str">
        <x:v>Estrutural</x:v>
      </x:c>
      <x:c r="E247" t="str">
        <x:v>Alta</x:v>
      </x:c>
      <x:c r="F247" t="str">
        <x:v>Concluído</x:v>
      </x:c>
      <x:c r="G247" t="n">
        <x:v>10</x:v>
      </x:c>
      <x:c r="H247" s="32" t="n">
        <x:v>1980</x:v>
      </x:c>
      <x:c r="I247" t="str">
        <x:v>Imobiliária</x:v>
      </x:c>
      <x:c r="J247" t="n">
        <x:v>4</x:v>
      </x:c>
    </x:row>
    <x:row r="248">
      <x:c r="A248" t="str">
        <x:v>CH-00247</x:v>
      </x:c>
      <x:c r="B248" t="str">
        <x:v>IMV-0065</x:v>
      </x:c>
      <x:c r="C248" s="36" t="n">
        <x:v>46052</x:v>
      </x:c>
      <x:c r="D248" t="str">
        <x:v>Hidráulica</x:v>
      </x:c>
      <x:c r="E248" t="str">
        <x:v>Alta</x:v>
      </x:c>
      <x:c r="F248" t="str">
        <x:v>Concluído</x:v>
      </x:c>
      <x:c r="G248" t="n">
        <x:v>4</x:v>
      </x:c>
      <x:c r="H248" s="32" t="n">
        <x:v>3790</x:v>
      </x:c>
      <x:c r="I248" t="str">
        <x:v>Inquilino</x:v>
      </x:c>
      <x:c r="J248" t="n">
        <x:v>1</x:v>
      </x:c>
    </x:row>
    <x:row r="249">
      <x:c r="A249" t="str">
        <x:v>CH-00248</x:v>
      </x:c>
      <x:c r="B249" t="str">
        <x:v>IMV-0065</x:v>
      </x:c>
      <x:c r="C249" s="36" t="n">
        <x:v>46106</x:v>
      </x:c>
      <x:c r="D249" t="str">
        <x:v>Estrutural</x:v>
      </x:c>
      <x:c r="E249" t="str">
        <x:v>Crítica</x:v>
      </x:c>
      <x:c r="F249" t="str">
        <x:v>Concluído</x:v>
      </x:c>
      <x:c r="G249" t="n">
        <x:v>24</x:v>
      </x:c>
      <x:c r="H249" s="32" t="n">
        <x:v>3690</x:v>
      </x:c>
      <x:c r="I249" t="str">
        <x:v>Inquilino</x:v>
      </x:c>
      <x:c r="J249" t="n">
        <x:v>1</x:v>
      </x:c>
    </x:row>
    <x:row r="250">
      <x:c r="A250" t="str">
        <x:v>CH-00249</x:v>
      </x:c>
      <x:c r="B250" t="str">
        <x:v>IMV-0065</x:v>
      </x:c>
      <x:c r="C250" s="36" t="n">
        <x:v>45883</x:v>
      </x:c>
      <x:c r="D250" t="str">
        <x:v>Pintura</x:v>
      </x:c>
      <x:c r="E250" t="str">
        <x:v>Crítica</x:v>
      </x:c>
      <x:c r="F250" t="str">
        <x:v>Em andamento</x:v>
      </x:c>
      <x:c r="G250" t="n">
        <x:v>354</x:v>
      </x:c>
      <x:c r="H250" s="32" t="n">
        <x:v>350</x:v>
      </x:c>
      <x:c r="I250" t="str">
        <x:v>Inquilino</x:v>
      </x:c>
      <x:c r="J250"/>
    </x:row>
    <x:row r="251">
      <x:c r="A251" t="str">
        <x:v>CH-00250</x:v>
      </x:c>
      <x:c r="B251" t="str">
        <x:v>IMV-0065</x:v>
      </x:c>
      <x:c r="C251" s="36" t="n">
        <x:v>46094</x:v>
      </x:c>
      <x:c r="D251" t="str">
        <x:v>Elétrica</x:v>
      </x:c>
      <x:c r="E251" t="str">
        <x:v>Média</x:v>
      </x:c>
      <x:c r="F251" t="str">
        <x:v>Concluído</x:v>
      </x:c>
      <x:c r="G251" t="n">
        <x:v>23</x:v>
      </x:c>
      <x:c r="H251" s="32" t="n">
        <x:v>3440</x:v>
      </x:c>
      <x:c r="I251" t="str">
        <x:v>Inquilino</x:v>
      </x:c>
      <x:c r="J251" t="n">
        <x:v>5</x:v>
      </x:c>
    </x:row>
    <x:row r="252">
      <x:c r="A252" t="str">
        <x:v>CH-00251</x:v>
      </x:c>
      <x:c r="B252" t="str">
        <x:v>IMV-0065</x:v>
      </x:c>
      <x:c r="C252" s="36" t="n">
        <x:v>46234</x:v>
      </x:c>
      <x:c r="D252" t="str">
        <x:v>Elétrica</x:v>
      </x:c>
      <x:c r="E252" t="str">
        <x:v>Média</x:v>
      </x:c>
      <x:c r="F252" t="str">
        <x:v>Concluído</x:v>
      </x:c>
      <x:c r="G252" t="n">
        <x:v>13</x:v>
      </x:c>
      <x:c r="H252" s="32" t="n">
        <x:v>3790</x:v>
      </x:c>
      <x:c r="I252" t="str">
        <x:v>Imobiliária</x:v>
      </x:c>
      <x:c r="J252" t="n">
        <x:v>2</x:v>
      </x:c>
    </x:row>
    <x:row r="253">
      <x:c r="A253" t="str">
        <x:v>CH-00252</x:v>
      </x:c>
      <x:c r="B253" t="str">
        <x:v>IMV-0065</x:v>
      </x:c>
      <x:c r="C253" s="36" t="n">
        <x:v>45875</x:v>
      </x:c>
      <x:c r="D253" t="str">
        <x:v>Hidráulica</x:v>
      </x:c>
      <x:c r="E253" t="str">
        <x:v>Alta</x:v>
      </x:c>
      <x:c r="F253" t="str">
        <x:v>Concluído</x:v>
      </x:c>
      <x:c r="G253" t="n">
        <x:v>7</x:v>
      </x:c>
      <x:c r="H253" s="32" t="n">
        <x:v>1330</x:v>
      </x:c>
      <x:c r="I253" t="str">
        <x:v>Inquilino</x:v>
      </x:c>
      <x:c r="J253" t="n">
        <x:v>3</x:v>
      </x:c>
    </x:row>
    <x:row r="254">
      <x:c r="A254" t="str">
        <x:v>CH-00253</x:v>
      </x:c>
      <x:c r="B254" t="str">
        <x:v>IMV-0066</x:v>
      </x:c>
      <x:c r="C254" s="36" t="n">
        <x:v>45882</x:v>
      </x:c>
      <x:c r="D254" t="str">
        <x:v>Chaves/Fechadura</x:v>
      </x:c>
      <x:c r="E254" t="str">
        <x:v>Média</x:v>
      </x:c>
      <x:c r="F254" t="str">
        <x:v>Concluído</x:v>
      </x:c>
      <x:c r="G254" t="n">
        <x:v>21</x:v>
      </x:c>
      <x:c r="H254" s="32" t="n">
        <x:v>3000</x:v>
      </x:c>
      <x:c r="I254" t="str">
        <x:v>Imobiliária</x:v>
      </x:c>
      <x:c r="J254" t="n">
        <x:v>3</x:v>
      </x:c>
    </x:row>
    <x:row r="255">
      <x:c r="A255" t="str">
        <x:v>CH-00254</x:v>
      </x:c>
      <x:c r="B255" t="str">
        <x:v>IMV-0066</x:v>
      </x:c>
      <x:c r="C255" s="36" t="n">
        <x:v>45964</x:v>
      </x:c>
      <x:c r="D255" t="str">
        <x:v>Eletrodoméstico</x:v>
      </x:c>
      <x:c r="E255" t="str">
        <x:v>Baixa</x:v>
      </x:c>
      <x:c r="F255" t="str">
        <x:v>Aguardando proprietário</x:v>
      </x:c>
      <x:c r="G255" t="n">
        <x:v>273</x:v>
      </x:c>
      <x:c r="H255" s="32" t="n">
        <x:v>3440</x:v>
      </x:c>
      <x:c r="I255" t="str">
        <x:v>Inquilino</x:v>
      </x:c>
      <x:c r="J255"/>
    </x:row>
    <x:row r="256">
      <x:c r="A256" t="str">
        <x:v>CH-00255</x:v>
      </x:c>
      <x:c r="B256" t="str">
        <x:v>IMV-0066</x:v>
      </x:c>
      <x:c r="C256" s="36" t="n">
        <x:v>45878</x:v>
      </x:c>
      <x:c r="D256" t="str">
        <x:v>Elétrica</x:v>
      </x:c>
      <x:c r="E256" t="str">
        <x:v>Crítica</x:v>
      </x:c>
      <x:c r="F256" t="str">
        <x:v>Concluído</x:v>
      </x:c>
      <x:c r="G256" t="n">
        <x:v>4</x:v>
      </x:c>
      <x:c r="H256" s="32" t="n">
        <x:v>3580</x:v>
      </x:c>
      <x:c r="I256" t="str">
        <x:v>Imobiliária</x:v>
      </x:c>
      <x:c r="J256" t="n">
        <x:v>2</x:v>
      </x:c>
    </x:row>
    <x:row r="257">
      <x:c r="A257" t="str">
        <x:v>CH-00256</x:v>
      </x:c>
      <x:c r="B257" t="str">
        <x:v>IMV-0066</x:v>
      </x:c>
      <x:c r="C257" s="36" t="n">
        <x:v>46122</x:v>
      </x:c>
      <x:c r="D257" t="str">
        <x:v>Elétrica</x:v>
      </x:c>
      <x:c r="E257" t="str">
        <x:v>Baixa</x:v>
      </x:c>
      <x:c r="F257" t="str">
        <x:v>Concluído</x:v>
      </x:c>
      <x:c r="G257" t="n">
        <x:v>14</x:v>
      </x:c>
      <x:c r="H257" s="32" t="n">
        <x:v>2350</x:v>
      </x:c>
      <x:c r="I257" t="str">
        <x:v>Imobiliária</x:v>
      </x:c>
      <x:c r="J257" t="n">
        <x:v>4</x:v>
      </x:c>
    </x:row>
    <x:row r="258">
      <x:c r="A258" t="str">
        <x:v>CH-00257</x:v>
      </x:c>
      <x:c r="B258" t="str">
        <x:v>IMV-0066</x:v>
      </x:c>
      <x:c r="C258" s="36" t="n">
        <x:v>45911</x:v>
      </x:c>
      <x:c r="D258" t="str">
        <x:v>Hidráulica</x:v>
      </x:c>
      <x:c r="E258" t="str">
        <x:v>Média</x:v>
      </x:c>
      <x:c r="F258" t="str">
        <x:v>Aguardando proprietário</x:v>
      </x:c>
      <x:c r="G258" t="n">
        <x:v>326</x:v>
      </x:c>
      <x:c r="H258" s="32" t="n">
        <x:v>2020</x:v>
      </x:c>
      <x:c r="I258" t="str">
        <x:v>Inquilino</x:v>
      </x:c>
      <x:c r="J258"/>
    </x:row>
    <x:row r="259">
      <x:c r="A259" t="str">
        <x:v>CH-00258</x:v>
      </x:c>
      <x:c r="B259" t="str">
        <x:v>IMV-0066</x:v>
      </x:c>
      <x:c r="C259" s="36" t="n">
        <x:v>46033</x:v>
      </x:c>
      <x:c r="D259" t="str">
        <x:v>Hidráulica</x:v>
      </x:c>
      <x:c r="E259" t="str">
        <x:v>Baixa</x:v>
      </x:c>
      <x:c r="F259" t="str">
        <x:v>Aguardando prestador</x:v>
      </x:c>
      <x:c r="G259" t="n">
        <x:v>204</x:v>
      </x:c>
      <x:c r="H259" s="32" t="n">
        <x:v>1270</x:v>
      </x:c>
      <x:c r="I259" t="str">
        <x:v>Proprietário</x:v>
      </x:c>
      <x:c r="J259"/>
    </x:row>
    <x:row r="260">
      <x:c r="A260" t="str">
        <x:v>CH-00259</x:v>
      </x:c>
      <x:c r="B260" t="str">
        <x:v>IMV-0067</x:v>
      </x:c>
      <x:c r="C260" s="36" t="n">
        <x:v>46123</x:v>
      </x:c>
      <x:c r="D260" t="str">
        <x:v>Elétrica</x:v>
      </x:c>
      <x:c r="E260" t="str">
        <x:v>Baixa</x:v>
      </x:c>
      <x:c r="F260" t="str">
        <x:v>Concluído</x:v>
      </x:c>
      <x:c r="G260" t="n">
        <x:v>16</x:v>
      </x:c>
      <x:c r="H260" s="32" t="n">
        <x:v>1430</x:v>
      </x:c>
      <x:c r="I260" t="str">
        <x:v>Imobiliária</x:v>
      </x:c>
      <x:c r="J260" t="n">
        <x:v>5</x:v>
      </x:c>
    </x:row>
    <x:row r="261">
      <x:c r="A261" t="str">
        <x:v>CH-00260</x:v>
      </x:c>
      <x:c r="B261" t="str">
        <x:v>IMV-0067</x:v>
      </x:c>
      <x:c r="C261" s="36" t="n">
        <x:v>45987</x:v>
      </x:c>
      <x:c r="D261" t="str">
        <x:v>Chaves/Fechadura</x:v>
      </x:c>
      <x:c r="E261" t="str">
        <x:v>Alta</x:v>
      </x:c>
      <x:c r="F261" t="str">
        <x:v>Concluído</x:v>
      </x:c>
      <x:c r="G261" t="n">
        <x:v>18</x:v>
      </x:c>
      <x:c r="H261" s="32" t="n">
        <x:v>4010</x:v>
      </x:c>
      <x:c r="I261" t="str">
        <x:v>Imobiliária</x:v>
      </x:c>
      <x:c r="J261" t="n">
        <x:v>4</x:v>
      </x:c>
    </x:row>
    <x:row r="262">
      <x:c r="A262" t="str">
        <x:v>CH-00261</x:v>
      </x:c>
      <x:c r="B262" t="str">
        <x:v>IMV-0067</x:v>
      </x:c>
      <x:c r="C262" s="36" t="n">
        <x:v>46174</x:v>
      </x:c>
      <x:c r="D262" t="str">
        <x:v>Chaves/Fechadura</x:v>
      </x:c>
      <x:c r="E262" t="str">
        <x:v>Média</x:v>
      </x:c>
      <x:c r="F262" t="str">
        <x:v>Concluído</x:v>
      </x:c>
      <x:c r="G262" t="n">
        <x:v>15</x:v>
      </x:c>
      <x:c r="H262" s="32" t="n">
        <x:v>1600</x:v>
      </x:c>
      <x:c r="I262" t="str">
        <x:v>Inquilino</x:v>
      </x:c>
      <x:c r="J262" t="n">
        <x:v>5</x:v>
      </x:c>
    </x:row>
    <x:row r="263">
      <x:c r="A263" t="str">
        <x:v>CH-00262</x:v>
      </x:c>
      <x:c r="B263" t="str">
        <x:v>IMV-0067</x:v>
      </x:c>
      <x:c r="C263" s="36" t="n">
        <x:v>45924</x:v>
      </x:c>
      <x:c r="D263" t="str">
        <x:v>Elétrica</x:v>
      </x:c>
      <x:c r="E263" t="str">
        <x:v>Crítica</x:v>
      </x:c>
      <x:c r="F263" t="str">
        <x:v>Concluído</x:v>
      </x:c>
      <x:c r="G263" t="n">
        <x:v>9</x:v>
      </x:c>
      <x:c r="H263" s="32" t="n">
        <x:v>1150</x:v>
      </x:c>
      <x:c r="I263" t="str">
        <x:v>Inquilino</x:v>
      </x:c>
      <x:c r="J263" t="n">
        <x:v>4</x:v>
      </x:c>
    </x:row>
    <x:row r="264">
      <x:c r="A264" t="str">
        <x:v>CH-00263</x:v>
      </x:c>
      <x:c r="B264" t="str">
        <x:v>IMV-0068</x:v>
      </x:c>
      <x:c r="C264" s="36" t="n">
        <x:v>46229</x:v>
      </x:c>
      <x:c r="D264" t="str">
        <x:v>Estrutural</x:v>
      </x:c>
      <x:c r="E264" t="str">
        <x:v>Média</x:v>
      </x:c>
      <x:c r="F264" t="str">
        <x:v>Concluído</x:v>
      </x:c>
      <x:c r="G264" t="n">
        <x:v>11</x:v>
      </x:c>
      <x:c r="H264" s="32" t="n">
        <x:v>1190</x:v>
      </x:c>
      <x:c r="I264" t="str">
        <x:v>Imobiliária</x:v>
      </x:c>
      <x:c r="J264" t="n">
        <x:v>2</x:v>
      </x:c>
    </x:row>
    <x:row r="265">
      <x:c r="A265" t="str">
        <x:v>CH-00264</x:v>
      </x:c>
      <x:c r="B265" t="str">
        <x:v>IMV-0069</x:v>
      </x:c>
      <x:c r="C265" s="36" t="n">
        <x:v>45958</x:v>
      </x:c>
      <x:c r="D265" t="str">
        <x:v>Eletrodoméstico</x:v>
      </x:c>
      <x:c r="E265" t="str">
        <x:v>Média</x:v>
      </x:c>
      <x:c r="F265" t="str">
        <x:v>Concluído</x:v>
      </x:c>
      <x:c r="G265" t="n">
        <x:v>10</x:v>
      </x:c>
      <x:c r="H265" s="32" t="n">
        <x:v>3180</x:v>
      </x:c>
      <x:c r="I265" t="str">
        <x:v>Inquilino</x:v>
      </x:c>
      <x:c r="J265" t="n">
        <x:v>5</x:v>
      </x:c>
    </x:row>
    <x:row r="266">
      <x:c r="A266" t="str">
        <x:v>CH-00265</x:v>
      </x:c>
      <x:c r="B266" t="str">
        <x:v>IMV-0069</x:v>
      </x:c>
      <x:c r="C266" s="36" t="n">
        <x:v>46043</x:v>
      </x:c>
      <x:c r="D266" t="str">
        <x:v>Estrutural</x:v>
      </x:c>
      <x:c r="E266" t="str">
        <x:v>Baixa</x:v>
      </x:c>
      <x:c r="F266" t="str">
        <x:v>Em andamento</x:v>
      </x:c>
      <x:c r="G266" t="n">
        <x:v>194</x:v>
      </x:c>
      <x:c r="H266" s="32" t="n">
        <x:v>3980</x:v>
      </x:c>
      <x:c r="I266" t="str">
        <x:v>Imobiliária</x:v>
      </x:c>
      <x:c r="J266"/>
    </x:row>
    <x:row r="267">
      <x:c r="A267" t="str">
        <x:v>CH-00266</x:v>
      </x:c>
      <x:c r="B267" t="str">
        <x:v>IMV-0069</x:v>
      </x:c>
      <x:c r="C267" s="36" t="n">
        <x:v>46056</x:v>
      </x:c>
      <x:c r="D267" t="str">
        <x:v>Estrutural</x:v>
      </x:c>
      <x:c r="E267" t="str">
        <x:v>Baixa</x:v>
      </x:c>
      <x:c r="F267" t="str">
        <x:v>Concluído</x:v>
      </x:c>
      <x:c r="G267" t="n">
        <x:v>24</x:v>
      </x:c>
      <x:c r="H267" s="32" t="n">
        <x:v>4380</x:v>
      </x:c>
      <x:c r="I267" t="str">
        <x:v>Imobiliária</x:v>
      </x:c>
      <x:c r="J267" t="n">
        <x:v>2</x:v>
      </x:c>
    </x:row>
    <x:row r="268">
      <x:c r="A268" t="str">
        <x:v>CH-00267</x:v>
      </x:c>
      <x:c r="B268" t="str">
        <x:v>IMV-0069</x:v>
      </x:c>
      <x:c r="C268" s="36" t="n">
        <x:v>46059</x:v>
      </x:c>
      <x:c r="D268" t="str">
        <x:v>Elétrica</x:v>
      </x:c>
      <x:c r="E268" t="str">
        <x:v>Alta</x:v>
      </x:c>
      <x:c r="F268" t="str">
        <x:v>Concluído</x:v>
      </x:c>
      <x:c r="G268" t="n">
        <x:v>12</x:v>
      </x:c>
      <x:c r="H268" s="32" t="n">
        <x:v>2510</x:v>
      </x:c>
      <x:c r="I268" t="str">
        <x:v>Proprietário</x:v>
      </x:c>
      <x:c r="J268" t="n">
        <x:v>3</x:v>
      </x:c>
    </x:row>
    <x:row r="269">
      <x:c r="A269" t="str">
        <x:v>CH-00268</x:v>
      </x:c>
      <x:c r="B269" t="str">
        <x:v>IMV-0069</x:v>
      </x:c>
      <x:c r="C269" s="36" t="n">
        <x:v>45989</x:v>
      </x:c>
      <x:c r="D269" t="str">
        <x:v>Elétrica</x:v>
      </x:c>
      <x:c r="E269" t="str">
        <x:v>Baixa</x:v>
      </x:c>
      <x:c r="F269" t="str">
        <x:v>Concluído</x:v>
      </x:c>
      <x:c r="G269" t="n">
        <x:v>25</x:v>
      </x:c>
      <x:c r="H269" s="32" t="n">
        <x:v>140</x:v>
      </x:c>
      <x:c r="I269" t="str">
        <x:v>Inquilino</x:v>
      </x:c>
      <x:c r="J269" t="n">
        <x:v>4</x:v>
      </x:c>
    </x:row>
    <x:row r="270">
      <x:c r="A270" t="str">
        <x:v>CH-00269</x:v>
      </x:c>
      <x:c r="B270" t="str">
        <x:v>IMV-0069</x:v>
      </x:c>
      <x:c r="C270" s="36" t="n">
        <x:v>46139</x:v>
      </x:c>
      <x:c r="D270" t="str">
        <x:v>Estrutural</x:v>
      </x:c>
      <x:c r="E270" t="str">
        <x:v>Baixa</x:v>
      </x:c>
      <x:c r="F270" t="str">
        <x:v>Concluído</x:v>
      </x:c>
      <x:c r="G270" t="n">
        <x:v>17</x:v>
      </x:c>
      <x:c r="H270" s="32" t="n">
        <x:v>4280</x:v>
      </x:c>
      <x:c r="I270" t="str">
        <x:v>Inquilino</x:v>
      </x:c>
      <x:c r="J270" t="n">
        <x:v>5</x:v>
      </x:c>
    </x:row>
    <x:row r="271">
      <x:c r="A271" t="str">
        <x:v>CH-00270</x:v>
      </x:c>
      <x:c r="B271" t="str">
        <x:v>IMV-0069</x:v>
      </x:c>
      <x:c r="C271" s="36" t="n">
        <x:v>45891</x:v>
      </x:c>
      <x:c r="D271" t="str">
        <x:v>Hidráulica</x:v>
      </x:c>
      <x:c r="E271" t="str">
        <x:v>Baixa</x:v>
      </x:c>
      <x:c r="F271" t="str">
        <x:v>Aguardando proprietário</x:v>
      </x:c>
      <x:c r="G271" t="n">
        <x:v>346</x:v>
      </x:c>
      <x:c r="H271" s="32" t="n">
        <x:v>2810</x:v>
      </x:c>
      <x:c r="I271" t="str">
        <x:v>Proprietário</x:v>
      </x:c>
      <x:c r="J271"/>
    </x:row>
    <x:row r="272">
      <x:c r="A272" t="str">
        <x:v>CH-00271</x:v>
      </x:c>
      <x:c r="B272" t="str">
        <x:v>IMV-0071</x:v>
      </x:c>
      <x:c r="C272" s="36" t="n">
        <x:v>45976</x:v>
      </x:c>
      <x:c r="D272" t="str">
        <x:v>Chaves/Fechadura</x:v>
      </x:c>
      <x:c r="E272" t="str">
        <x:v>Baixa</x:v>
      </x:c>
      <x:c r="F272" t="str">
        <x:v>Concluído</x:v>
      </x:c>
      <x:c r="G272" t="n">
        <x:v>25</x:v>
      </x:c>
      <x:c r="H272" s="32" t="n">
        <x:v>1700</x:v>
      </x:c>
      <x:c r="I272" t="str">
        <x:v>Proprietário</x:v>
      </x:c>
      <x:c r="J272" t="n">
        <x:v>3</x:v>
      </x:c>
    </x:row>
    <x:row r="273">
      <x:c r="A273" t="str">
        <x:v>CH-00272</x:v>
      </x:c>
      <x:c r="B273" t="str">
        <x:v>IMV-0071</x:v>
      </x:c>
      <x:c r="C273" s="36" t="n">
        <x:v>46123</x:v>
      </x:c>
      <x:c r="D273" t="str">
        <x:v>Eletrodoméstico</x:v>
      </x:c>
      <x:c r="E273" t="str">
        <x:v>Média</x:v>
      </x:c>
      <x:c r="F273" t="str">
        <x:v>Concluído</x:v>
      </x:c>
      <x:c r="G273" t="n">
        <x:v>15</x:v>
      </x:c>
      <x:c r="H273" s="32" t="n">
        <x:v>1670</x:v>
      </x:c>
      <x:c r="I273" t="str">
        <x:v>Inquilino</x:v>
      </x:c>
      <x:c r="J273" t="n">
        <x:v>3</x:v>
      </x:c>
    </x:row>
    <x:row r="274">
      <x:c r="A274" t="str">
        <x:v>CH-00273</x:v>
      </x:c>
      <x:c r="B274" t="str">
        <x:v>IMV-0071</x:v>
      </x:c>
      <x:c r="C274" s="36" t="n">
        <x:v>46211</x:v>
      </x:c>
      <x:c r="D274" t="str">
        <x:v>Estrutural</x:v>
      </x:c>
      <x:c r="E274" t="str">
        <x:v>Alta</x:v>
      </x:c>
      <x:c r="F274" t="str">
        <x:v>Em andamento</x:v>
      </x:c>
      <x:c r="G274" t="n">
        <x:v>26</x:v>
      </x:c>
      <x:c r="H274" s="32" t="n">
        <x:v>3400</x:v>
      </x:c>
      <x:c r="I274" t="str">
        <x:v>Imobiliária</x:v>
      </x:c>
      <x:c r="J274"/>
    </x:row>
    <x:row r="275">
      <x:c r="A275" t="str">
        <x:v>CH-00274</x:v>
      </x:c>
      <x:c r="B275" t="str">
        <x:v>IMV-0071</x:v>
      </x:c>
      <x:c r="C275" s="36" t="n">
        <x:v>45991</x:v>
      </x:c>
      <x:c r="D275" t="str">
        <x:v>Eletrodoméstico</x:v>
      </x:c>
      <x:c r="E275" t="str">
        <x:v>Média</x:v>
      </x:c>
      <x:c r="F275" t="str">
        <x:v>Concluído</x:v>
      </x:c>
      <x:c r="G275" t="n">
        <x:v>19</x:v>
      </x:c>
      <x:c r="H275" s="32" t="n">
        <x:v>930</x:v>
      </x:c>
      <x:c r="I275" t="str">
        <x:v>Inquilino</x:v>
      </x:c>
      <x:c r="J275" t="n">
        <x:v>5</x:v>
      </x:c>
    </x:row>
    <x:row r="276">
      <x:c r="A276" t="str">
        <x:v>CH-00275</x:v>
      </x:c>
      <x:c r="B276" t="str">
        <x:v>IMV-0071</x:v>
      </x:c>
      <x:c r="C276" s="36" t="n">
        <x:v>46223</x:v>
      </x:c>
      <x:c r="D276" t="str">
        <x:v>Chaves/Fechadura</x:v>
      </x:c>
      <x:c r="E276" t="str">
        <x:v>Crítica</x:v>
      </x:c>
      <x:c r="F276" t="str">
        <x:v>Aguardando proprietário</x:v>
      </x:c>
      <x:c r="G276" t="n">
        <x:v>14</x:v>
      </x:c>
      <x:c r="H276" s="32" t="n">
        <x:v>2980</x:v>
      </x:c>
      <x:c r="I276" t="str">
        <x:v>Proprietário</x:v>
      </x:c>
      <x:c r="J276"/>
    </x:row>
    <x:row r="277">
      <x:c r="A277" t="str">
        <x:v>CH-00276</x:v>
      </x:c>
      <x:c r="B277" t="str">
        <x:v>IMV-0071</x:v>
      </x:c>
      <x:c r="C277" s="36" t="n">
        <x:v>45912</x:v>
      </x:c>
      <x:c r="D277" t="str">
        <x:v>Elétrica</x:v>
      </x:c>
      <x:c r="E277" t="str">
        <x:v>Alta</x:v>
      </x:c>
      <x:c r="F277" t="str">
        <x:v>Concluído</x:v>
      </x:c>
      <x:c r="G277" t="n">
        <x:v>21</x:v>
      </x:c>
      <x:c r="H277" s="32" t="n">
        <x:v>3720</x:v>
      </x:c>
      <x:c r="I277" t="str">
        <x:v>Proprietário</x:v>
      </x:c>
      <x:c r="J277" t="n">
        <x:v>4</x:v>
      </x:c>
    </x:row>
    <x:row r="278">
      <x:c r="A278" t="str">
        <x:v>CH-00277</x:v>
      </x:c>
      <x:c r="B278" t="str">
        <x:v>IMV-0072</x:v>
      </x:c>
      <x:c r="C278" s="36" t="n">
        <x:v>46188</x:v>
      </x:c>
      <x:c r="D278" t="str">
        <x:v>Chaves/Fechadura</x:v>
      </x:c>
      <x:c r="E278" t="str">
        <x:v>Alta</x:v>
      </x:c>
      <x:c r="F278" t="str">
        <x:v>Concluído</x:v>
      </x:c>
      <x:c r="G278" t="n">
        <x:v>22</x:v>
      </x:c>
      <x:c r="H278" s="32" t="n">
        <x:v>2450</x:v>
      </x:c>
      <x:c r="I278" t="str">
        <x:v>Proprietário</x:v>
      </x:c>
      <x:c r="J278" t="n">
        <x:v>3</x:v>
      </x:c>
    </x:row>
    <x:row r="279">
      <x:c r="A279" t="str">
        <x:v>CH-00278</x:v>
      </x:c>
      <x:c r="B279" t="str">
        <x:v>IMV-0072</x:v>
      </x:c>
      <x:c r="C279" s="36" t="n">
        <x:v>45969</x:v>
      </x:c>
      <x:c r="D279" t="str">
        <x:v>Elétrica</x:v>
      </x:c>
      <x:c r="E279" t="str">
        <x:v>Média</x:v>
      </x:c>
      <x:c r="F279" t="str">
        <x:v>Em andamento</x:v>
      </x:c>
      <x:c r="G279" t="n">
        <x:v>268</x:v>
      </x:c>
      <x:c r="H279" s="32" t="n">
        <x:v>1460</x:v>
      </x:c>
      <x:c r="I279" t="str">
        <x:v>Imobiliária</x:v>
      </x:c>
      <x:c r="J279"/>
    </x:row>
    <x:row r="280">
      <x:c r="A280" t="str">
        <x:v>CH-00279</x:v>
      </x:c>
      <x:c r="B280" t="str">
        <x:v>IMV-0073</x:v>
      </x:c>
      <x:c r="C280" s="36" t="n">
        <x:v>46106</x:v>
      </x:c>
      <x:c r="D280" t="str">
        <x:v>Elétrica</x:v>
      </x:c>
      <x:c r="E280" t="str">
        <x:v>Média</x:v>
      </x:c>
      <x:c r="F280" t="str">
        <x:v>Concluído</x:v>
      </x:c>
      <x:c r="G280" t="n">
        <x:v>7</x:v>
      </x:c>
      <x:c r="H280" s="32" t="n">
        <x:v>4140</x:v>
      </x:c>
      <x:c r="I280" t="str">
        <x:v>Imobiliária</x:v>
      </x:c>
      <x:c r="J280" t="n">
        <x:v>2</x:v>
      </x:c>
    </x:row>
    <x:row r="281">
      <x:c r="A281" t="str">
        <x:v>CH-00280</x:v>
      </x:c>
      <x:c r="B281" t="str">
        <x:v>IMV-0073</x:v>
      </x:c>
      <x:c r="C281" s="36" t="n">
        <x:v>46015</x:v>
      </x:c>
      <x:c r="D281" t="str">
        <x:v>Chaves/Fechadura</x:v>
      </x:c>
      <x:c r="E281" t="str">
        <x:v>Média</x:v>
      </x:c>
      <x:c r="F281" t="str">
        <x:v>Aguardando proprietário</x:v>
      </x:c>
      <x:c r="G281" t="n">
        <x:v>222</x:v>
      </x:c>
      <x:c r="H281" s="32" t="n">
        <x:v>4160</x:v>
      </x:c>
      <x:c r="I281" t="str">
        <x:v>Inquilino</x:v>
      </x:c>
      <x:c r="J281"/>
    </x:row>
    <x:row r="282">
      <x:c r="A282" t="str">
        <x:v>CH-00281</x:v>
      </x:c>
      <x:c r="B282" t="str">
        <x:v>IMV-0073</x:v>
      </x:c>
      <x:c r="C282" s="36" t="n">
        <x:v>45996</x:v>
      </x:c>
      <x:c r="D282" t="str">
        <x:v>Pintura</x:v>
      </x:c>
      <x:c r="E282" t="str">
        <x:v>Baixa</x:v>
      </x:c>
      <x:c r="F282" t="str">
        <x:v>Concluído</x:v>
      </x:c>
      <x:c r="G282" t="n">
        <x:v>12</x:v>
      </x:c>
      <x:c r="H282" s="32" t="n">
        <x:v>3200</x:v>
      </x:c>
      <x:c r="I282" t="str">
        <x:v>Proprietário</x:v>
      </x:c>
      <x:c r="J282" t="n">
        <x:v>3</x:v>
      </x:c>
    </x:row>
    <x:row r="283">
      <x:c r="A283" t="str">
        <x:v>CH-00282</x:v>
      </x:c>
      <x:c r="B283" t="str">
        <x:v>IMV-0074</x:v>
      </x:c>
      <x:c r="C283" s="36" t="n">
        <x:v>46180</x:v>
      </x:c>
      <x:c r="D283" t="str">
        <x:v>Chaves/Fechadura</x:v>
      </x:c>
      <x:c r="E283" t="str">
        <x:v>Crítica</x:v>
      </x:c>
      <x:c r="F283" t="str">
        <x:v>Concluído</x:v>
      </x:c>
      <x:c r="G283" t="n">
        <x:v>8</x:v>
      </x:c>
      <x:c r="H283" s="32" t="n">
        <x:v>3780</x:v>
      </x:c>
      <x:c r="I283" t="str">
        <x:v>Proprietário</x:v>
      </x:c>
      <x:c r="J283" t="n">
        <x:v>4</x:v>
      </x:c>
    </x:row>
    <x:row r="284">
      <x:c r="A284" t="str">
        <x:v>CH-00283</x:v>
      </x:c>
      <x:c r="B284" t="str">
        <x:v>IMV-0074</x:v>
      </x:c>
      <x:c r="C284" s="36" t="n">
        <x:v>45914</x:v>
      </x:c>
      <x:c r="D284" t="str">
        <x:v>Eletrodoméstico</x:v>
      </x:c>
      <x:c r="E284" t="str">
        <x:v>Baixa</x:v>
      </x:c>
      <x:c r="F284" t="str">
        <x:v>Concluído</x:v>
      </x:c>
      <x:c r="G284" t="n">
        <x:v>12</x:v>
      </x:c>
      <x:c r="H284" s="32" t="n">
        <x:v>1670</x:v>
      </x:c>
      <x:c r="I284" t="str">
        <x:v>Imobiliária</x:v>
      </x:c>
      <x:c r="J284" t="n">
        <x:v>3</x:v>
      </x:c>
    </x:row>
    <x:row r="285">
      <x:c r="A285" t="str">
        <x:v>CH-00284</x:v>
      </x:c>
      <x:c r="B285" t="str">
        <x:v>IMV-0074</x:v>
      </x:c>
      <x:c r="C285" s="36" t="n">
        <x:v>46230</x:v>
      </x:c>
      <x:c r="D285" t="str">
        <x:v>Eletrodoméstico</x:v>
      </x:c>
      <x:c r="E285" t="str">
        <x:v>Alta</x:v>
      </x:c>
      <x:c r="F285" t="str">
        <x:v>Concluído</x:v>
      </x:c>
      <x:c r="G285" t="n">
        <x:v>17</x:v>
      </x:c>
      <x:c r="H285" s="32" t="n">
        <x:v>310</x:v>
      </x:c>
      <x:c r="I285" t="str">
        <x:v>Inquilino</x:v>
      </x:c>
      <x:c r="J285" t="n">
        <x:v>2</x:v>
      </x:c>
    </x:row>
    <x:row r="286">
      <x:c r="A286" t="str">
        <x:v>CH-00285</x:v>
      </x:c>
      <x:c r="B286" t="str">
        <x:v>IMV-0074</x:v>
      </x:c>
      <x:c r="C286" s="36" t="n">
        <x:v>45888</x:v>
      </x:c>
      <x:c r="D286" t="str">
        <x:v>Chaves/Fechadura</x:v>
      </x:c>
      <x:c r="E286" t="str">
        <x:v>Crítica</x:v>
      </x:c>
      <x:c r="F286" t="str">
        <x:v>Aguardando prestador</x:v>
      </x:c>
      <x:c r="G286" t="n">
        <x:v>349</x:v>
      </x:c>
      <x:c r="H286" s="32" t="n">
        <x:v>2320</x:v>
      </x:c>
      <x:c r="I286" t="str">
        <x:v>Imobiliária</x:v>
      </x:c>
      <x:c r="J286"/>
    </x:row>
    <x:row r="287">
      <x:c r="A287" t="str">
        <x:v>CH-00286</x:v>
      </x:c>
      <x:c r="B287" t="str">
        <x:v>IMV-0074</x:v>
      </x:c>
      <x:c r="C287" s="36" t="n">
        <x:v>45974</x:v>
      </x:c>
      <x:c r="D287" t="str">
        <x:v>Pintura</x:v>
      </x:c>
      <x:c r="E287" t="str">
        <x:v>Crítica</x:v>
      </x:c>
      <x:c r="F287" t="str">
        <x:v>Em andamento</x:v>
      </x:c>
      <x:c r="G287" t="n">
        <x:v>263</x:v>
      </x:c>
      <x:c r="H287" s="32" t="n">
        <x:v>2290</x:v>
      </x:c>
      <x:c r="I287" t="str">
        <x:v>Inquilino</x:v>
      </x:c>
      <x:c r="J287"/>
    </x:row>
    <x:row r="288">
      <x:c r="A288" t="str">
        <x:v>CH-00287</x:v>
      </x:c>
      <x:c r="B288" t="str">
        <x:v>IMV-0074</x:v>
      </x:c>
      <x:c r="C288" s="36" t="n">
        <x:v>46100</x:v>
      </x:c>
      <x:c r="D288" t="str">
        <x:v>Pintura</x:v>
      </x:c>
      <x:c r="E288" t="str">
        <x:v>Crítica</x:v>
      </x:c>
      <x:c r="F288" t="str">
        <x:v>Concluído</x:v>
      </x:c>
      <x:c r="G288" t="n">
        <x:v>7</x:v>
      </x:c>
      <x:c r="H288" s="32" t="n">
        <x:v>4280</x:v>
      </x:c>
      <x:c r="I288" t="str">
        <x:v>Imobiliária</x:v>
      </x:c>
      <x:c r="J288" t="n">
        <x:v>3</x:v>
      </x:c>
    </x:row>
    <x:row r="289">
      <x:c r="A289" t="str">
        <x:v>CH-00288</x:v>
      </x:c>
      <x:c r="B289" t="str">
        <x:v>IMV-0075</x:v>
      </x:c>
      <x:c r="C289" s="36" t="n">
        <x:v>45993</x:v>
      </x:c>
      <x:c r="D289" t="str">
        <x:v>Hidráulica</x:v>
      </x:c>
      <x:c r="E289" t="str">
        <x:v>Média</x:v>
      </x:c>
      <x:c r="F289" t="str">
        <x:v>Concluído</x:v>
      </x:c>
      <x:c r="G289" t="n">
        <x:v>5</x:v>
      </x:c>
      <x:c r="H289" s="32" t="n">
        <x:v>1510</x:v>
      </x:c>
      <x:c r="I289" t="str">
        <x:v>Imobiliária</x:v>
      </x:c>
      <x:c r="J289" t="n">
        <x:v>5</x:v>
      </x:c>
    </x:row>
    <x:row r="290">
      <x:c r="A290" t="str">
        <x:v>CH-00289</x:v>
      </x:c>
      <x:c r="B290" t="str">
        <x:v>IMV-0075</x:v>
      </x:c>
      <x:c r="C290" s="36" t="n">
        <x:v>45909</x:v>
      </x:c>
      <x:c r="D290" t="str">
        <x:v>Eletrodoméstico</x:v>
      </x:c>
      <x:c r="E290" t="str">
        <x:v>Baixa</x:v>
      </x:c>
      <x:c r="F290" t="str">
        <x:v>Em andamento</x:v>
      </x:c>
      <x:c r="G290" t="n">
        <x:v>328</x:v>
      </x:c>
      <x:c r="H290" s="32" t="n">
        <x:v>1240</x:v>
      </x:c>
      <x:c r="I290" t="str">
        <x:v>Proprietário</x:v>
      </x:c>
      <x:c r="J290"/>
    </x:row>
    <x:row r="291">
      <x:c r="A291" t="str">
        <x:v>CH-00290</x:v>
      </x:c>
      <x:c r="B291" t="str">
        <x:v>IMV-0076</x:v>
      </x:c>
      <x:c r="C291" s="36" t="n">
        <x:v>45952</x:v>
      </x:c>
      <x:c r="D291" t="str">
        <x:v>Elétrica</x:v>
      </x:c>
      <x:c r="E291" t="str">
        <x:v>Média</x:v>
      </x:c>
      <x:c r="F291" t="str">
        <x:v>Em andamento</x:v>
      </x:c>
      <x:c r="G291" t="n">
        <x:v>285</x:v>
      </x:c>
      <x:c r="H291" s="32" t="n">
        <x:v>760</x:v>
      </x:c>
      <x:c r="I291" t="str">
        <x:v>Imobiliária</x:v>
      </x:c>
      <x:c r="J291"/>
    </x:row>
    <x:row r="292">
      <x:c r="A292" t="str">
        <x:v>CH-00291</x:v>
      </x:c>
      <x:c r="B292" t="str">
        <x:v>IMV-0076</x:v>
      </x:c>
      <x:c r="C292" s="36" t="n">
        <x:v>46211</x:v>
      </x:c>
      <x:c r="D292" t="str">
        <x:v>Elétrica</x:v>
      </x:c>
      <x:c r="E292" t="str">
        <x:v>Baixa</x:v>
      </x:c>
      <x:c r="F292" t="str">
        <x:v>Em andamento</x:v>
      </x:c>
      <x:c r="G292" t="n">
        <x:v>26</x:v>
      </x:c>
      <x:c r="H292" s="32" t="n">
        <x:v>4480</x:v>
      </x:c>
      <x:c r="I292" t="str">
        <x:v>Imobiliária</x:v>
      </x:c>
      <x:c r="J292"/>
    </x:row>
    <x:row r="293">
      <x:c r="A293" t="str">
        <x:v>CH-00292</x:v>
      </x:c>
      <x:c r="B293" t="str">
        <x:v>IMV-0076</x:v>
      </x:c>
      <x:c r="C293" s="36" t="n">
        <x:v>46001</x:v>
      </x:c>
      <x:c r="D293" t="str">
        <x:v>Eletrodoméstico</x:v>
      </x:c>
      <x:c r="E293" t="str">
        <x:v>Alta</x:v>
      </x:c>
      <x:c r="F293" t="str">
        <x:v>Concluído</x:v>
      </x:c>
      <x:c r="G293" t="n">
        <x:v>10</x:v>
      </x:c>
      <x:c r="H293" s="32" t="n">
        <x:v>2770</x:v>
      </x:c>
      <x:c r="I293" t="str">
        <x:v>Inquilino</x:v>
      </x:c>
      <x:c r="J293" t="n">
        <x:v>4</x:v>
      </x:c>
    </x:row>
    <x:row r="294">
      <x:c r="A294" t="str">
        <x:v>CH-00293</x:v>
      </x:c>
      <x:c r="B294" t="str">
        <x:v>IMV-0076</x:v>
      </x:c>
      <x:c r="C294" s="36" t="n">
        <x:v>46156</x:v>
      </x:c>
      <x:c r="D294" t="str">
        <x:v>Elétrica</x:v>
      </x:c>
      <x:c r="E294" t="str">
        <x:v>Alta</x:v>
      </x:c>
      <x:c r="F294" t="str">
        <x:v>Concluído</x:v>
      </x:c>
      <x:c r="G294" t="n">
        <x:v>13</x:v>
      </x:c>
      <x:c r="H294" s="32" t="n">
        <x:v>1340</x:v>
      </x:c>
      <x:c r="I294" t="str">
        <x:v>Inquilino</x:v>
      </x:c>
      <x:c r="J294" t="n">
        <x:v>4</x:v>
      </x:c>
    </x:row>
    <x:row r="295">
      <x:c r="A295" t="str">
        <x:v>CH-00294</x:v>
      </x:c>
      <x:c r="B295" t="str">
        <x:v>IMV-0076</x:v>
      </x:c>
      <x:c r="C295" s="36" t="n">
        <x:v>46042</x:v>
      </x:c>
      <x:c r="D295" t="str">
        <x:v>Pintura</x:v>
      </x:c>
      <x:c r="E295" t="str">
        <x:v>Alta</x:v>
      </x:c>
      <x:c r="F295" t="str">
        <x:v>Concluído</x:v>
      </x:c>
      <x:c r="G295" t="n">
        <x:v>13</x:v>
      </x:c>
      <x:c r="H295" s="32" t="n">
        <x:v>3310</x:v>
      </x:c>
      <x:c r="I295" t="str">
        <x:v>Proprietário</x:v>
      </x:c>
      <x:c r="J295" t="n">
        <x:v>2</x:v>
      </x:c>
    </x:row>
    <x:row r="296">
      <x:c r="A296" t="str">
        <x:v>CH-00295</x:v>
      </x:c>
      <x:c r="B296" t="str">
        <x:v>IMV-0076</x:v>
      </x:c>
      <x:c r="C296" s="36" t="n">
        <x:v>45967</x:v>
      </x:c>
      <x:c r="D296" t="str">
        <x:v>Elétrica</x:v>
      </x:c>
      <x:c r="E296" t="str">
        <x:v>Crítica</x:v>
      </x:c>
      <x:c r="F296" t="str">
        <x:v>Concluído</x:v>
      </x:c>
      <x:c r="G296" t="n">
        <x:v>5</x:v>
      </x:c>
      <x:c r="H296" s="32" t="n">
        <x:v>2490</x:v>
      </x:c>
      <x:c r="I296" t="str">
        <x:v>Proprietário</x:v>
      </x:c>
      <x:c r="J296" t="n">
        <x:v>4</x:v>
      </x:c>
    </x:row>
    <x:row r="297">
      <x:c r="A297" t="str">
        <x:v>CH-00296</x:v>
      </x:c>
      <x:c r="B297" t="str">
        <x:v>IMV-0076</x:v>
      </x:c>
      <x:c r="C297" s="36" t="n">
        <x:v>46012</x:v>
      </x:c>
      <x:c r="D297" t="str">
        <x:v>Eletrodoméstico</x:v>
      </x:c>
      <x:c r="E297" t="str">
        <x:v>Alta</x:v>
      </x:c>
      <x:c r="F297" t="str">
        <x:v>Aguardando proprietário</x:v>
      </x:c>
      <x:c r="G297" t="n">
        <x:v>225</x:v>
      </x:c>
      <x:c r="H297" s="32" t="n">
        <x:v>260</x:v>
      </x:c>
      <x:c r="I297" t="str">
        <x:v>Proprietário</x:v>
      </x:c>
      <x:c r="J297"/>
    </x:row>
    <x:row r="298">
      <x:c r="A298" t="str">
        <x:v>CH-00297</x:v>
      </x:c>
      <x:c r="B298" t="str">
        <x:v>IMV-0077</x:v>
      </x:c>
      <x:c r="C298" s="36" t="n">
        <x:v>46210</x:v>
      </x:c>
      <x:c r="D298" t="str">
        <x:v>Eletrodoméstico</x:v>
      </x:c>
      <x:c r="E298" t="str">
        <x:v>Baixa</x:v>
      </x:c>
      <x:c r="F298" t="str">
        <x:v>Concluído</x:v>
      </x:c>
      <x:c r="G298" t="n">
        <x:v>3</x:v>
      </x:c>
      <x:c r="H298" s="32" t="n">
        <x:v>910</x:v>
      </x:c>
      <x:c r="I298" t="str">
        <x:v>Proprietário</x:v>
      </x:c>
      <x:c r="J298" t="n">
        <x:v>3</x:v>
      </x:c>
    </x:row>
    <x:row r="299">
      <x:c r="A299" t="str">
        <x:v>CH-00298</x:v>
      </x:c>
      <x:c r="B299" t="str">
        <x:v>IMV-0077</x:v>
      </x:c>
      <x:c r="C299" s="36" t="n">
        <x:v>45965</x:v>
      </x:c>
      <x:c r="D299" t="str">
        <x:v>Hidráulica</x:v>
      </x:c>
      <x:c r="E299" t="str">
        <x:v>Crítica</x:v>
      </x:c>
      <x:c r="F299" t="str">
        <x:v>Concluído</x:v>
      </x:c>
      <x:c r="G299" t="n">
        <x:v>3</x:v>
      </x:c>
      <x:c r="H299" s="32" t="n">
        <x:v>2940</x:v>
      </x:c>
      <x:c r="I299" t="str">
        <x:v>Inquilino</x:v>
      </x:c>
      <x:c r="J299" t="n">
        <x:v>3</x:v>
      </x:c>
    </x:row>
    <x:row r="300">
      <x:c r="A300" t="str">
        <x:v>CH-00299</x:v>
      </x:c>
      <x:c r="B300" t="str">
        <x:v>IMV-0077</x:v>
      </x:c>
      <x:c r="C300" s="36" t="n">
        <x:v>46162</x:v>
      </x:c>
      <x:c r="D300" t="str">
        <x:v>Hidráulica</x:v>
      </x:c>
      <x:c r="E300" t="str">
        <x:v>Crítica</x:v>
      </x:c>
      <x:c r="F300" t="str">
        <x:v>Aguardando proprietário</x:v>
      </x:c>
      <x:c r="G300" t="n">
        <x:v>75</x:v>
      </x:c>
      <x:c r="H300" s="32" t="n">
        <x:v>3970</x:v>
      </x:c>
      <x:c r="I300" t="str">
        <x:v>Imobiliária</x:v>
      </x:c>
      <x:c r="J300"/>
    </x:row>
    <x:row r="301">
      <x:c r="A301" t="str">
        <x:v>CH-00300</x:v>
      </x:c>
      <x:c r="B301" t="str">
        <x:v>IMV-0077</x:v>
      </x:c>
      <x:c r="C301" s="36" t="n">
        <x:v>46218</x:v>
      </x:c>
      <x:c r="D301" t="str">
        <x:v>Chaves/Fechadura</x:v>
      </x:c>
      <x:c r="E301" t="str">
        <x:v>Baixa</x:v>
      </x:c>
      <x:c r="F301" t="str">
        <x:v>Concluído</x:v>
      </x:c>
      <x:c r="G301" t="n">
        <x:v>13</x:v>
      </x:c>
      <x:c r="H301" s="32" t="n">
        <x:v>780</x:v>
      </x:c>
      <x:c r="I301" t="str">
        <x:v>Imobiliária</x:v>
      </x:c>
      <x:c r="J301" t="n">
        <x:v>3</x:v>
      </x:c>
    </x:row>
    <x:row r="302">
      <x:c r="A302" t="str">
        <x:v>CH-00301</x:v>
      </x:c>
      <x:c r="B302" t="str">
        <x:v>IMV-0077</x:v>
      </x:c>
      <x:c r="C302" s="36" t="n">
        <x:v>45877</x:v>
      </x:c>
      <x:c r="D302" t="str">
        <x:v>Estrutural</x:v>
      </x:c>
      <x:c r="E302" t="str">
        <x:v>Baixa</x:v>
      </x:c>
      <x:c r="F302" t="str">
        <x:v>Concluído</x:v>
      </x:c>
      <x:c r="G302" t="n">
        <x:v>14</x:v>
      </x:c>
      <x:c r="H302" s="32" t="n">
        <x:v>4230</x:v>
      </x:c>
      <x:c r="I302" t="str">
        <x:v>Imobiliária</x:v>
      </x:c>
      <x:c r="J302" t="n">
        <x:v>5</x:v>
      </x:c>
    </x:row>
    <x:row r="303">
      <x:c r="A303" t="str">
        <x:v>CH-00302</x:v>
      </x:c>
      <x:c r="B303" t="str">
        <x:v>IMV-0078</x:v>
      </x:c>
      <x:c r="C303" s="36" t="n">
        <x:v>46202</x:v>
      </x:c>
      <x:c r="D303" t="str">
        <x:v>Hidráulica</x:v>
      </x:c>
      <x:c r="E303" t="str">
        <x:v>Baixa</x:v>
      </x:c>
      <x:c r="F303" t="str">
        <x:v>Concluído</x:v>
      </x:c>
      <x:c r="G303" t="n">
        <x:v>17</x:v>
      </x:c>
      <x:c r="H303" s="32" t="n">
        <x:v>660</x:v>
      </x:c>
      <x:c r="I303" t="str">
        <x:v>Inquilino</x:v>
      </x:c>
      <x:c r="J303" t="n">
        <x:v>4</x:v>
      </x:c>
    </x:row>
    <x:row r="304">
      <x:c r="A304" t="str">
        <x:v>CH-00303</x:v>
      </x:c>
      <x:c r="B304" t="str">
        <x:v>IMV-0079</x:v>
      </x:c>
      <x:c r="C304" s="36" t="n">
        <x:v>46050</x:v>
      </x:c>
      <x:c r="D304" t="str">
        <x:v>Estrutural</x:v>
      </x:c>
      <x:c r="E304" t="str">
        <x:v>Média</x:v>
      </x:c>
      <x:c r="F304" t="str">
        <x:v>Aguardando prestador</x:v>
      </x:c>
      <x:c r="G304" t="n">
        <x:v>187</x:v>
      </x:c>
      <x:c r="H304" s="32" t="n">
        <x:v>1810</x:v>
      </x:c>
      <x:c r="I304" t="str">
        <x:v>Imobiliária</x:v>
      </x:c>
      <x:c r="J304"/>
    </x:row>
    <x:row r="305">
      <x:c r="A305" t="str">
        <x:v>CH-00304</x:v>
      </x:c>
      <x:c r="B305" t="str">
        <x:v>IMV-0080</x:v>
      </x:c>
      <x:c r="C305" s="36" t="n">
        <x:v>45959</x:v>
      </x:c>
      <x:c r="D305" t="str">
        <x:v>Hidráulica</x:v>
      </x:c>
      <x:c r="E305" t="str">
        <x:v>Média</x:v>
      </x:c>
      <x:c r="F305" t="str">
        <x:v>Aguardando proprietário</x:v>
      </x:c>
      <x:c r="G305" t="n">
        <x:v>278</x:v>
      </x:c>
      <x:c r="H305" s="32" t="n">
        <x:v>3870</x:v>
      </x:c>
      <x:c r="I305" t="str">
        <x:v>Proprietário</x:v>
      </x:c>
      <x:c r="J305"/>
    </x:row>
    <x:row r="306">
      <x:c r="A306" t="str">
        <x:v>CH-00305</x:v>
      </x:c>
      <x:c r="B306" t="str">
        <x:v>IMV-0080</x:v>
      </x:c>
      <x:c r="C306" s="36" t="n">
        <x:v>46143</x:v>
      </x:c>
      <x:c r="D306" t="str">
        <x:v>Elétrica</x:v>
      </x:c>
      <x:c r="E306" t="str">
        <x:v>Baixa</x:v>
      </x:c>
      <x:c r="F306" t="str">
        <x:v>Concluído</x:v>
      </x:c>
      <x:c r="G306" t="n">
        <x:v>18</x:v>
      </x:c>
      <x:c r="H306" s="32" t="n">
        <x:v>3280</x:v>
      </x:c>
      <x:c r="I306" t="str">
        <x:v>Imobiliária</x:v>
      </x:c>
      <x:c r="J306" t="n">
        <x:v>5</x:v>
      </x:c>
    </x:row>
    <x:row r="307">
      <x:c r="A307" t="str">
        <x:v>CH-00306</x:v>
      </x:c>
      <x:c r="B307" t="str">
        <x:v>IMV-0080</x:v>
      </x:c>
      <x:c r="C307" s="36" t="n">
        <x:v>46172</x:v>
      </x:c>
      <x:c r="D307" t="str">
        <x:v>Hidráulica</x:v>
      </x:c>
      <x:c r="E307" t="str">
        <x:v>Média</x:v>
      </x:c>
      <x:c r="F307" t="str">
        <x:v>Concluído</x:v>
      </x:c>
      <x:c r="G307" t="n">
        <x:v>9</x:v>
      </x:c>
      <x:c r="H307" s="32" t="n">
        <x:v>680</x:v>
      </x:c>
      <x:c r="I307" t="str">
        <x:v>Imobiliária</x:v>
      </x:c>
      <x:c r="J307" t="n">
        <x:v>2</x:v>
      </x:c>
    </x:row>
    <x:row r="308">
      <x:c r="A308" t="str">
        <x:v>CH-00307</x:v>
      </x:c>
      <x:c r="B308" t="str">
        <x:v>IMV-0080</x:v>
      </x:c>
      <x:c r="C308" s="36" t="n">
        <x:v>45907</x:v>
      </x:c>
      <x:c r="D308" t="str">
        <x:v>Eletrodoméstico</x:v>
      </x:c>
      <x:c r="E308" t="str">
        <x:v>Alta</x:v>
      </x:c>
      <x:c r="F308" t="str">
        <x:v>Concluído</x:v>
      </x:c>
      <x:c r="G308" t="n">
        <x:v>9</x:v>
      </x:c>
      <x:c r="H308" s="32" t="n">
        <x:v>2220</x:v>
      </x:c>
      <x:c r="I308" t="str">
        <x:v>Proprietário</x:v>
      </x:c>
      <x:c r="J308" t="n">
        <x:v>1</x:v>
      </x:c>
    </x:row>
    <x:row r="309">
      <x:c r="A309" t="str">
        <x:v>CH-00308</x:v>
      </x:c>
      <x:c r="B309" t="str">
        <x:v>IMV-0080</x:v>
      </x:c>
      <x:c r="C309" s="36" t="n">
        <x:v>45873</x:v>
      </x:c>
      <x:c r="D309" t="str">
        <x:v>Pintura</x:v>
      </x:c>
      <x:c r="E309" t="str">
        <x:v>Alta</x:v>
      </x:c>
      <x:c r="F309" t="str">
        <x:v>Concluído</x:v>
      </x:c>
      <x:c r="G309" t="n">
        <x:v>20</x:v>
      </x:c>
      <x:c r="H309" s="32" t="n">
        <x:v>2910</x:v>
      </x:c>
      <x:c r="I309" t="str">
        <x:v>Imobiliária</x:v>
      </x:c>
      <x:c r="J309" t="n">
        <x:v>4</x:v>
      </x:c>
    </x:row>
  </x:sheetData>
  <x:conditionalFormatting sqref="G2:G309">
    <x:cfRule type="colorScale" priority="1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6c7780e274a74665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</x:cols>
  <x:sheetData>
    <x:row r="1" ht="34" customHeight="1">
      <x:c r="A1" s="26" t="str">
        <x:v>ID_Proprietario</x:v>
      </x:c>
      <x:c r="B1" s="26" t="str">
        <x:v>Nome_Proprietario</x:v>
      </x:c>
      <x:c r="C1" s="26" t="str">
        <x:v>Cliente_Desde</x:v>
      </x:c>
      <x:c r="D1" s="26" t="str">
        <x:v>Dias_Sem_Contato</x:v>
      </x:c>
      <x:c r="E1" s="26" t="str">
        <x:v>Reclamacoes_12m</x:v>
      </x:c>
      <x:c r="F1" s="26" t="str">
        <x:v>Qtd_Imoveis</x:v>
      </x:c>
      <x:c r="G1" s="26" t="str">
        <x:v>Receita_Mensal_Gerada</x:v>
      </x:c>
      <x:c r="H1" s="26" t="str">
        <x:v>Imoveis_Vagos</x:v>
      </x:c>
      <x:c r="I1" s="26" t="str">
        <x:v>Risco_Relacionamento</x:v>
      </x:c>
    </x:row>
    <x:row r="2">
      <x:c r="A2" t="str">
        <x:v>PROP-001</x:v>
      </x:c>
      <x:c r="B2" t="str">
        <x:v>Proprietário Teste 01</x:v>
      </x:c>
      <x:c r="C2" s="36" t="n">
        <x:v>44993</x:v>
      </x:c>
      <x:c r="D2" t="n">
        <x:v>80</x:v>
      </x:c>
      <x:c r="E2" t="n">
        <x:v>1</x:v>
      </x:c>
      <x:c r="F2" t="n">
        <x:v>8</x:v>
      </x:c>
      <x:c r="G2" s="32" t="n">
        <x:v>2373</x:v>
      </x:c>
      <x:c r="H2" t="n">
        <x:v>2</x:v>
      </x:c>
      <x:c r="I2" t="n">
        <x:v>51</x:v>
      </x:c>
    </x:row>
    <x:row r="3">
      <x:c r="A3" t="str">
        <x:v>PROP-002</x:v>
      </x:c>
      <x:c r="B3" t="str">
        <x:v>Proprietário Teste 02</x:v>
      </x:c>
      <x:c r="C3" s="36" t="n">
        <x:v>43228</x:v>
      </x:c>
      <x:c r="D3" t="n">
        <x:v>23</x:v>
      </x:c>
      <x:c r="E3" t="n">
        <x:v>1</x:v>
      </x:c>
      <x:c r="F3" t="n">
        <x:v>4</x:v>
      </x:c>
      <x:c r="G3" s="32" t="n">
        <x:v>1044</x:v>
      </x:c>
      <x:c r="H3" t="n">
        <x:v>2</x:v>
      </x:c>
      <x:c r="I3" t="n">
        <x:v>37</x:v>
      </x:c>
    </x:row>
    <x:row r="4">
      <x:c r="A4" t="str">
        <x:v>PROP-003</x:v>
      </x:c>
      <x:c r="B4" t="str">
        <x:v>Proprietário Teste 03</x:v>
      </x:c>
      <x:c r="C4" s="36" t="n">
        <x:v>43159</x:v>
      </x:c>
      <x:c r="D4" t="n">
        <x:v>39</x:v>
      </x:c>
      <x:c r="E4" t="n">
        <x:v>4</x:v>
      </x:c>
      <x:c r="F4" t="n">
        <x:v>6</x:v>
      </x:c>
      <x:c r="G4" s="32" t="n">
        <x:v>1838.5</x:v>
      </x:c>
      <x:c r="H4" t="n">
        <x:v>0</x:v>
      </x:c>
      <x:c r="I4" t="n">
        <x:v>54</x:v>
      </x:c>
    </x:row>
    <x:row r="5">
      <x:c r="A5" t="str">
        <x:v>PROP-004</x:v>
      </x:c>
      <x:c r="B5" t="str">
        <x:v>Proprietário Teste 04</x:v>
      </x:c>
      <x:c r="C5" s="36" t="n">
        <x:v>45176</x:v>
      </x:c>
      <x:c r="D5" t="n">
        <x:v>22</x:v>
      </x:c>
      <x:c r="E5" t="n">
        <x:v>6</x:v>
      </x:c>
      <x:c r="F5" t="n">
        <x:v>4</x:v>
      </x:c>
      <x:c r="G5" s="32" t="n">
        <x:v>1326.5</x:v>
      </x:c>
      <x:c r="H5" t="n">
        <x:v>0</x:v>
      </x:c>
      <x:c r="I5" t="n">
        <x:v>68</x:v>
      </x:c>
    </x:row>
    <x:row r="6">
      <x:c r="A6" t="str">
        <x:v>PROP-005</x:v>
      </x:c>
      <x:c r="B6" t="str">
        <x:v>Proprietário Teste 05</x:v>
      </x:c>
      <x:c r="C6" s="36" t="n">
        <x:v>44924</x:v>
      </x:c>
      <x:c r="D6" t="n">
        <x:v>18</x:v>
      </x:c>
      <x:c r="E6" t="n">
        <x:v>5</x:v>
      </x:c>
      <x:c r="F6" t="n">
        <x:v>4</x:v>
      </x:c>
      <x:c r="G6" s="32" t="n">
        <x:v>1035</x:v>
      </x:c>
      <x:c r="H6" t="n">
        <x:v>1</x:v>
      </x:c>
      <x:c r="I6" t="n">
        <x:v>64</x:v>
      </x:c>
    </x:row>
    <x:row r="7">
      <x:c r="A7" t="str">
        <x:v>PROP-006</x:v>
      </x:c>
      <x:c r="B7" t="str">
        <x:v>Proprietário Teste 06</x:v>
      </x:c>
      <x:c r="C7" s="36" t="n">
        <x:v>45450</x:v>
      </x:c>
      <x:c r="D7" t="n">
        <x:v>85</x:v>
      </x:c>
      <x:c r="E7" t="n">
        <x:v>3</x:v>
      </x:c>
      <x:c r="F7" t="n">
        <x:v>3</x:v>
      </x:c>
      <x:c r="G7" s="32" t="n">
        <x:v>735</x:v>
      </x:c>
      <x:c r="H7" t="n">
        <x:v>1</x:v>
      </x:c>
      <x:c r="I7" t="n">
        <x:v>55</x:v>
      </x:c>
    </x:row>
    <x:row r="8">
      <x:c r="A8" t="str">
        <x:v>PROP-007</x:v>
      </x:c>
      <x:c r="B8" t="str">
        <x:v>Proprietário Teste 07</x:v>
      </x:c>
      <x:c r="C8" s="36" t="n">
        <x:v>45377</x:v>
      </x:c>
      <x:c r="D8" t="n">
        <x:v>140</x:v>
      </x:c>
      <x:c r="E8" t="n">
        <x:v>4</x:v>
      </x:c>
      <x:c r="F8" t="n">
        <x:v>5</x:v>
      </x:c>
      <x:c r="G8" s="32" t="n">
        <x:v>1562</x:v>
      </x:c>
      <x:c r="H8" t="n">
        <x:v>2</x:v>
      </x:c>
      <x:c r="I8" t="n">
        <x:v>93</x:v>
      </x:c>
    </x:row>
    <x:row r="9">
      <x:c r="A9" t="str">
        <x:v>PROP-008</x:v>
      </x:c>
      <x:c r="B9" t="str">
        <x:v>Proprietário Teste 08</x:v>
      </x:c>
      <x:c r="C9" s="36" t="n">
        <x:v>43394</x:v>
      </x:c>
      <x:c r="D9" t="n">
        <x:v>100</x:v>
      </x:c>
      <x:c r="E9" t="n">
        <x:v>3</x:v>
      </x:c>
      <x:c r="F9" t="n">
        <x:v>5</x:v>
      </x:c>
      <x:c r="G9" s="32" t="n">
        <x:v>1887</x:v>
      </x:c>
      <x:c r="H9" t="n">
        <x:v>0</x:v>
      </x:c>
      <x:c r="I9" t="n">
        <x:v>60</x:v>
      </x:c>
    </x:row>
    <x:row r="10">
      <x:c r="A10" t="str">
        <x:v>PROP-009</x:v>
      </x:c>
      <x:c r="B10" t="str">
        <x:v>Proprietário Teste 09</x:v>
      </x:c>
      <x:c r="C10" s="36" t="n">
        <x:v>44813</x:v>
      </x:c>
      <x:c r="D10" t="n">
        <x:v>168</x:v>
      </x:c>
      <x:c r="E10" t="n">
        <x:v>1</x:v>
      </x:c>
      <x:c r="F10" t="n">
        <x:v>6</x:v>
      </x:c>
      <x:c r="G10" s="32" t="n">
        <x:v>2260.5</x:v>
      </x:c>
      <x:c r="H10" t="n">
        <x:v>0</x:v>
      </x:c>
      <x:c r="I10" t="n">
        <x:v>59</x:v>
      </x:c>
    </x:row>
    <x:row r="11">
      <x:c r="A11" t="str">
        <x:v>PROP-010</x:v>
      </x:c>
      <x:c r="B11" t="str">
        <x:v>Proprietário Teste 10</x:v>
      </x:c>
      <x:c r="C11" s="36" t="n">
        <x:v>44807</x:v>
      </x:c>
      <x:c r="D11" t="n">
        <x:v>95</x:v>
      </x:c>
      <x:c r="E11" t="n">
        <x:v>2</x:v>
      </x:c>
      <x:c r="F11" t="n">
        <x:v>4</x:v>
      </x:c>
      <x:c r="G11" s="32" t="n">
        <x:v>1588</x:v>
      </x:c>
      <x:c r="H11" t="n">
        <x:v>2</x:v>
      </x:c>
      <x:c r="I11" t="n">
        <x:v>64</x:v>
      </x:c>
    </x:row>
    <x:row r="12">
      <x:c r="A12" t="str">
        <x:v>PROP-011</x:v>
      </x:c>
      <x:c r="B12" t="str">
        <x:v>Proprietário Teste 11</x:v>
      </x:c>
      <x:c r="C12" s="36" t="n">
        <x:v>45122</x:v>
      </x:c>
      <x:c r="D12" t="n">
        <x:v>83</x:v>
      </x:c>
      <x:c r="E12" t="n">
        <x:v>3</x:v>
      </x:c>
      <x:c r="F12" t="n">
        <x:v>7</x:v>
      </x:c>
      <x:c r="G12" s="32" t="n">
        <x:v>3069</x:v>
      </x:c>
      <x:c r="H12" t="n">
        <x:v>1</x:v>
      </x:c>
      <x:c r="I12" t="n">
        <x:v>63</x:v>
      </x:c>
    </x:row>
    <x:row r="13">
      <x:c r="A13" t="str">
        <x:v>PROP-012</x:v>
      </x:c>
      <x:c r="B13" t="str">
        <x:v>Proprietário Teste 12</x:v>
      </x:c>
      <x:c r="C13" s="36" t="n">
        <x:v>42847</x:v>
      </x:c>
      <x:c r="D13" t="n">
        <x:v>21</x:v>
      </x:c>
      <x:c r="E13" t="n">
        <x:v>5</x:v>
      </x:c>
      <x:c r="F13" t="n">
        <x:v>2</x:v>
      </x:c>
      <x:c r="G13" s="32" t="n">
        <x:v>401</x:v>
      </x:c>
      <x:c r="H13" t="n">
        <x:v>0</x:v>
      </x:c>
      <x:c r="I13" t="n">
        <x:v>50</x:v>
      </x:c>
    </x:row>
    <x:row r="14">
      <x:c r="A14" t="str">
        <x:v>PROP-013</x:v>
      </x:c>
      <x:c r="B14" t="str">
        <x:v>Proprietário Teste 13</x:v>
      </x:c>
      <x:c r="C14" s="36" t="n">
        <x:v>43037</x:v>
      </x:c>
      <x:c r="D14" t="n">
        <x:v>53</x:v>
      </x:c>
      <x:c r="E14" t="n">
        <x:v>3</x:v>
      </x:c>
      <x:c r="F14" t="n">
        <x:v>9</x:v>
      </x:c>
      <x:c r="G14" s="32" t="n">
        <x:v>3562.5</x:v>
      </x:c>
      <x:c r="H14" t="n">
        <x:v>1</x:v>
      </x:c>
      <x:c r="I14" t="n">
        <x:v>55</x:v>
      </x:c>
    </x:row>
    <x:row r="15">
      <x:c r="A15" t="str">
        <x:v>PROP-014</x:v>
      </x:c>
      <x:c r="B15" t="str">
        <x:v>Proprietário Teste 14</x:v>
      </x:c>
      <x:c r="C15" s="36" t="n">
        <x:v>44237</x:v>
      </x:c>
      <x:c r="D15" t="n">
        <x:v>79</x:v>
      </x:c>
      <x:c r="E15" t="n">
        <x:v>0</x:v>
      </x:c>
      <x:c r="F15" t="n">
        <x:v>5</x:v>
      </x:c>
      <x:c r="G15" s="32" t="n">
        <x:v>2294.5</x:v>
      </x:c>
      <x:c r="H15" t="n">
        <x:v>1</x:v>
      </x:c>
      <x:c r="I15" t="n">
        <x:v>35</x:v>
      </x:c>
    </x:row>
    <x:row r="16">
      <x:c r="A16" t="str">
        <x:v>PROP-015</x:v>
      </x:c>
      <x:c r="B16" t="str">
        <x:v>Proprietário Teste 15</x:v>
      </x:c>
      <x:c r="C16" s="36" t="n">
        <x:v>43386</x:v>
      </x:c>
      <x:c r="D16" t="n">
        <x:v>138</x:v>
      </x:c>
      <x:c r="E16" t="n">
        <x:v>1</x:v>
      </x:c>
      <x:c r="F16" t="n">
        <x:v>8</x:v>
      </x:c>
      <x:c r="G16" s="32" t="n">
        <x:v>2596</x:v>
      </x:c>
      <x:c r="H16" t="n">
        <x:v>1</x:v>
      </x:c>
      <x:c r="I16" t="n">
        <x:v>58</x:v>
      </x:c>
    </x:row>
  </x:sheetData>
  <x:conditionalFormatting sqref="I2:I16">
    <x:cfRule type="colorScale" priority="1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30dcbc782e124122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75" hidden="0" customWidth="1"/>
  </x:cols>
  <x:sheetData>
    <x:row r="1" ht="34" customHeight="1">
      <x:c r="A1" s="26" t="str">
        <x:v>Aba</x:v>
      </x:c>
      <x:c r="B1" s="26" t="str">
        <x:v>Campo</x:v>
      </x:c>
      <x:c r="C1" s="26" t="str">
        <x:v>Descrição</x:v>
      </x:c>
    </x:row>
    <x:row r="2">
      <x:c r="A2" s="20" t="str">
        <x:v>Imoveis_Contratos</x:v>
      </x:c>
      <x:c r="B2" s="20" t="str">
        <x:v>Receita_Mensal_Imobiliaria</x:v>
      </x:c>
      <x:c r="C2" s="20" t="str">
        <x:v>Aluguel mensal multiplicado pela taxa de administração.</x:v>
      </x:c>
    </x:row>
    <x:row r="3">
      <x:c r="A3" s="20" t="str">
        <x:v>Imoveis_Contratos</x:v>
      </x:c>
      <x:c r="B3" s="20" t="str">
        <x:v>Diferenca_Preco_Mercado</x:v>
      </x:c>
      <x:c r="C3" s="20" t="str">
        <x:v>Diferença percentual entre o aluguel anunciado e o valor estimado de mercado.</x:v>
      </x:c>
    </x:row>
    <x:row r="4">
      <x:c r="A4" s="20" t="str">
        <x:v>Imoveis_Contratos</x:v>
      </x:c>
      <x:c r="B4" s="20" t="str">
        <x:v>Perda_Mensal_Vacancia</x:v>
      </x:c>
      <x:c r="C4" s="20" t="str">
        <x:v>Aluguel mensal potencial perdido quando o imóvel está vago.</x:v>
      </x:c>
    </x:row>
    <x:row r="5">
      <x:c r="A5" s="20" t="str">
        <x:v>Pagamentos</x:v>
      </x:c>
      <x:c r="B5" s="20" t="str">
        <x:v>Dias_Atraso</x:v>
      </x:c>
      <x:c r="C5" s="20" t="str">
        <x:v>Quantidade de dias entre vencimento e pagamento; em aberto, dias até a data-base.</x:v>
      </x:c>
    </x:row>
    <x:row r="6">
      <x:c r="A6" s="20" t="str">
        <x:v>Leads_Visitas</x:v>
      </x:c>
      <x:c r="B6" s="20" t="str">
        <x:v>Dias_Ate_Primeiro_Contato</x:v>
      </x:c>
      <x:c r="C6" s="20" t="str">
        <x:v>Tempo da entrada do lead até o primeiro contato comercial.</x:v>
      </x:c>
    </x:row>
    <x:row r="7">
      <x:c r="A7" s="20" t="str">
        <x:v>Manutencoes</x:v>
      </x:c>
      <x:c r="B7" s="20" t="str">
        <x:v>Dias_Em_Aberto</x:v>
      </x:c>
      <x:c r="C7" s="20" t="str">
        <x:v>Tempo total do chamado até conclusão ou até a data-base.</x:v>
      </x:c>
    </x:row>
    <x:row r="8">
      <x:c r="A8" s="20" t="str">
        <x:v>Proprietarios</x:v>
      </x:c>
      <x:c r="B8" s="20" t="str">
        <x:v>Risco_Relacionamento</x:v>
      </x:c>
      <x:c r="C8" s="20" t="str">
        <x:v>Pontuação fictícia baseada em tempo sem contato, reclamações, vacância e relevância da carteira.</x:v>
      </x:c>
    </x:row>
  </x:sheetData>
  <x:pageMargins left="0.7" right="0.7" top="0.75" bottom="0.75" header="0.3" footer="0.3"/>
</x:worksheet>
</file>